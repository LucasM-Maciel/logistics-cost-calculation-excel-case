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OneDrive\Área de Trabalho\"/>
    </mc:Choice>
  </mc:AlternateContent>
  <xr:revisionPtr revIDLastSave="0" documentId="13_ncr:1_{C6D0627E-7166-4EC2-AD36-35EC2236009C}" xr6:coauthVersionLast="47" xr6:coauthVersionMax="47" xr10:uidLastSave="{00000000-0000-0000-0000-000000000000}"/>
  <bookViews>
    <workbookView xWindow="-108" yWindow="-108" windowWidth="23256" windowHeight="12456" tabRatio="929" xr2:uid="{B19213C1-9F63-F748-AA5F-8F18CDDFD53E}"/>
  </bookViews>
  <sheets>
    <sheet name="Exercício" sheetId="10" r:id="rId1"/>
    <sheet name="Tabela_Final" sheetId="20" r:id="rId2"/>
    <sheet name="Km_veículos" sheetId="17" r:id="rId3"/>
    <sheet name="Região_Paradas" sheetId="18" r:id="rId4"/>
    <sheet name="Listas" sheetId="21" state="hidden" r:id="rId5"/>
    <sheet name="Aux_Origem_Transformação" sheetId="16" state="hidden" r:id="rId6"/>
    <sheet name="Sudeste" sheetId="11" state="hidden" r:id="rId7"/>
    <sheet name="Centro-Oeste e Sul" sheetId="13" state="hidden" r:id="rId8"/>
    <sheet name="Norte e Nordeste" sheetId="12" state="hidden" r:id="rId9"/>
  </sheets>
  <definedNames>
    <definedName name="ExternalData_1" localSheetId="2" hidden="1">Km_veículos!$A$1:$E$21</definedName>
    <definedName name="ExternalData_1" localSheetId="3" hidden="1">'Região_Paradas'!$A$1:$F$13</definedName>
    <definedName name="ExternalData_3" localSheetId="1" hidden="1">Tabela_Final!$A$1:$I$241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0" l="1"/>
  <c r="E3" i="10"/>
  <c r="E4" i="10"/>
  <c r="E5" i="10"/>
  <c r="E6" i="10"/>
  <c r="E7" i="10"/>
  <c r="E8" i="10"/>
  <c r="E9" i="10"/>
  <c r="E10" i="10"/>
  <c r="E11" i="10"/>
  <c r="E2" i="10"/>
  <c r="F12" i="10"/>
  <c r="G12" i="10"/>
  <c r="A2" i="21" a="1"/>
  <c r="A2" i="21" s="1"/>
  <c r="B2" i="21" a="1"/>
  <c r="B2" i="21" s="1"/>
  <c r="G11" i="10"/>
  <c r="G3" i="10"/>
  <c r="G4" i="10"/>
  <c r="G5" i="10"/>
  <c r="G6" i="10"/>
  <c r="G7" i="10"/>
  <c r="G8" i="10"/>
  <c r="G9" i="10"/>
  <c r="G10" i="10"/>
  <c r="G2" i="10"/>
  <c r="F3" i="10"/>
  <c r="F4" i="10"/>
  <c r="F5" i="10"/>
  <c r="F6" i="10"/>
  <c r="F7" i="10"/>
  <c r="F8" i="10"/>
  <c r="F9" i="10"/>
  <c r="F10" i="10"/>
  <c r="F11" i="10"/>
  <c r="F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D07539-B098-47FC-8530-0C06077E93BB}" keepAlive="1" name="Query - KM/Veículos" description="Connection to the 'KM/Veículos' query in the workbook." type="5" refreshedVersion="8" background="1" saveData="1">
    <dbPr connection="Provider=Microsoft.Mashup.OleDb.1;Data Source=$Workbook$;Location=KM/Veículos;Extended Properties=&quot;&quot;" command="SELECT * FROM [KM/Veículos]"/>
  </connection>
  <connection id="2" xr16:uid="{CF7E1323-B001-4272-9010-5E77DFBC3930}" keepAlive="1" name="Query - Região/Paradas" description="Connection to the 'Região/Paradas' query in the workbook." type="5" refreshedVersion="8" background="1" saveData="1">
    <dbPr connection="Provider=Microsoft.Mashup.OleDb.1;Data Source=$Workbook$;Location=Região/Paradas;Extended Properties=&quot;&quot;" command="SELECT * FROM [Região/Paradas]"/>
  </connection>
  <connection id="3" xr16:uid="{EA7A3F28-82AA-4AC4-B136-9F8BCB406BC7}" keepAlive="1" name="Query - Tabela_Final" description="Connection to the 'Tabela_Final' query in the workbook." type="5" refreshedVersion="8" background="1" saveData="1">
    <dbPr connection="Provider=Microsoft.Mashup.OleDb.1;Data Source=$Workbook$;Location=Tabela_Final;Extended Properties=&quot;&quot;" command="SELECT * FROM [Tabela_Final]"/>
  </connection>
  <connection id="4" xr16:uid="{9D3B0432-3E1F-481A-B7E6-EB087D09EDA7}" keepAlive="1" name="Query - Tabela_final1" description="Connection to the 'Tabela_final' query in the workbook." type="5" refreshedVersion="8" background="1" saveData="1">
    <dbPr connection="Provider=Microsoft.Mashup.OleDb.1;Data Source=$Workbook$;Location=Tabela_final;Extended Properties=&quot;&quot;" command="SELECT * FROM [Tabela_fina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<sst xmlns="http://schemas.openxmlformats.org/spreadsheetml/2006/main" count="931" uniqueCount="57">
  <si>
    <t>KM</t>
  </si>
  <si>
    <t>Região</t>
  </si>
  <si>
    <t>Tipo do Veículo</t>
  </si>
  <si>
    <t>Paradas</t>
  </si>
  <si>
    <t>Valor Total</t>
  </si>
  <si>
    <t>Sudeste Capital</t>
  </si>
  <si>
    <t>Van</t>
  </si>
  <si>
    <t>Sul Interior</t>
  </si>
  <si>
    <t>Risco</t>
  </si>
  <si>
    <t>SP Interior 1</t>
  </si>
  <si>
    <t>Vuc</t>
  </si>
  <si>
    <t>SP Capital</t>
  </si>
  <si>
    <t>Utilitário</t>
  </si>
  <si>
    <t>Centro-Oeste Capital</t>
  </si>
  <si>
    <t>Centro-Oeste Interior</t>
  </si>
  <si>
    <t>Sul Capital</t>
  </si>
  <si>
    <t>Sudeste Interior</t>
  </si>
  <si>
    <t>SP Interior 2</t>
  </si>
  <si>
    <t>SUDESTE</t>
  </si>
  <si>
    <t>Sudeste capital</t>
  </si>
  <si>
    <t>Sudeste interior</t>
  </si>
  <si>
    <t>Utilitario</t>
  </si>
  <si>
    <t>0-60</t>
  </si>
  <si>
    <t>61-90</t>
  </si>
  <si>
    <t>&gt;91</t>
  </si>
  <si>
    <t>1-100</t>
  </si>
  <si>
    <t>101-150</t>
  </si>
  <si>
    <t>151-200</t>
  </si>
  <si>
    <t>201-300</t>
  </si>
  <si>
    <t>&gt;301</t>
  </si>
  <si>
    <t>Norte</t>
  </si>
  <si>
    <t>NORDESTE</t>
  </si>
  <si>
    <t>Capital</t>
  </si>
  <si>
    <t xml:space="preserve">Interior </t>
  </si>
  <si>
    <t>Centro-Oeste</t>
  </si>
  <si>
    <t>Sul</t>
  </si>
  <si>
    <t>Interior</t>
  </si>
  <si>
    <t>KmMin</t>
  </si>
  <si>
    <t>KmMax</t>
  </si>
  <si>
    <t>Veículo</t>
  </si>
  <si>
    <t>Custo Fixo</t>
  </si>
  <si>
    <t>Vlr_0_60</t>
  </si>
  <si>
    <t>Vlr_61_90</t>
  </si>
  <si>
    <t>Sudeste</t>
  </si>
  <si>
    <t>Vlr_91_mais</t>
  </si>
  <si>
    <t>Km Max</t>
  </si>
  <si>
    <t>Km Min</t>
  </si>
  <si>
    <t>Nordeste</t>
  </si>
  <si>
    <t>Norte Capital</t>
  </si>
  <si>
    <t>Nordeste Capital</t>
  </si>
  <si>
    <t>Nordeste interior</t>
  </si>
  <si>
    <t>Chave</t>
  </si>
  <si>
    <t>CustoFixo</t>
  </si>
  <si>
    <t>Custo Variável</t>
  </si>
  <si>
    <t>MacroRegião</t>
  </si>
  <si>
    <t>ListaRegião</t>
  </si>
  <si>
    <t>ListaVeículo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</si>
</sst>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Corpo)"/>
    </font>
    <font>
      <sz val="12"/>
      <color theme="2" tint="-0.249977111117893"/>
      <name val="Calibri"/>
      <family val="2"/>
      <scheme val="minor"/>
    </font>
    <font>
      <sz val="12"/>
      <color rgb="FFFFFFFF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/>
    <xf numFmtId="0" fontId="2" fillId="3" borderId="3" xfId="0" applyFont="1" applyFill="1" applyBorder="1" applyAlignment="1">
      <alignment horizontal="center"/>
    </xf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0" fillId="3" borderId="13" xfId="0" applyFill="1" applyBorder="1"/>
    <xf numFmtId="0" fontId="2" fillId="3" borderId="13" xfId="0" applyFont="1" applyFill="1" applyBorder="1"/>
    <xf numFmtId="0" fontId="0" fillId="3" borderId="14" xfId="0" applyFill="1" applyBorder="1"/>
    <xf numFmtId="0" fontId="2" fillId="3" borderId="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0" fillId="6" borderId="3" xfId="0" applyNumberFormat="1" applyFill="1" applyBorder="1"/>
    <xf numFmtId="164" fontId="0" fillId="6" borderId="0" xfId="0" applyNumberFormat="1" applyFill="1"/>
    <xf numFmtId="164" fontId="0" fillId="6" borderId="8" xfId="0" applyNumberFormat="1" applyFill="1" applyBorder="1"/>
    <xf numFmtId="0" fontId="0" fillId="0" borderId="0" xfId="0" applyAlignment="1">
      <alignment horizontal="left"/>
    </xf>
    <xf numFmtId="4" fontId="0" fillId="0" borderId="0" xfId="0" applyNumberFormat="1"/>
    <xf numFmtId="0" fontId="0" fillId="7" borderId="15" xfId="0" applyFill="1" applyBorder="1"/>
    <xf numFmtId="164" fontId="0" fillId="8" borderId="15" xfId="0" applyNumberFormat="1" applyFill="1" applyBorder="1"/>
    <xf numFmtId="1" fontId="0" fillId="8" borderId="15" xfId="0" applyNumberFormat="1" applyFill="1" applyBorder="1"/>
    <xf numFmtId="0" fontId="0" fillId="0" borderId="0" xfId="0" applyAlignment="1">
      <alignment horizontal="center"/>
    </xf>
    <xf numFmtId="0" fontId="0" fillId="8" borderId="15" xfId="0" applyFill="1" applyBorder="1"/>
    <xf numFmtId="164" fontId="0" fillId="6" borderId="15" xfId="0" applyNumberFormat="1" applyFill="1" applyBorder="1"/>
    <xf numFmtId="164" fontId="0" fillId="0" borderId="15" xfId="0" applyNumberFormat="1" applyBorder="1"/>
    <xf numFmtId="164" fontId="0" fillId="0" borderId="14" xfId="0" applyNumberFormat="1" applyBorder="1"/>
    <xf numFmtId="1" fontId="0" fillId="8" borderId="17" xfId="0" applyNumberFormat="1" applyFill="1" applyBorder="1"/>
    <xf numFmtId="164" fontId="0" fillId="6" borderId="17" xfId="0" applyNumberFormat="1" applyFill="1" applyBorder="1"/>
    <xf numFmtId="1" fontId="0" fillId="0" borderId="0" xfId="0" applyNumberFormat="1"/>
    <xf numFmtId="164" fontId="0" fillId="6" borderId="14" xfId="0" applyNumberFormat="1" applyFill="1" applyBorder="1"/>
    <xf numFmtId="0" fontId="2" fillId="3" borderId="18" xfId="0" applyFont="1" applyFill="1" applyBorder="1"/>
    <xf numFmtId="0" fontId="1" fillId="3" borderId="18" xfId="0" applyFont="1" applyFill="1" applyBorder="1"/>
    <xf numFmtId="2" fontId="2" fillId="3" borderId="7" xfId="0" applyNumberFormat="1" applyFont="1" applyFill="1" applyBorder="1"/>
    <xf numFmtId="0" fontId="2" fillId="0" borderId="0" xfId="0" applyFont="1"/>
    <xf numFmtId="1" fontId="0" fillId="8" borderId="16" xfId="0" applyNumberFormat="1" applyFill="1" applyBorder="1"/>
    <xf numFmtId="0" fontId="2" fillId="3" borderId="1" xfId="0" applyFont="1" applyFill="1" applyBorder="1"/>
    <xf numFmtId="0" fontId="2" fillId="3" borderId="7" xfId="0" applyFont="1" applyFill="1" applyBorder="1"/>
    <xf numFmtId="1" fontId="0" fillId="8" borderId="4" xfId="0" applyNumberFormat="1" applyFill="1" applyBorder="1"/>
    <xf numFmtId="164" fontId="0" fillId="6" borderId="2" xfId="0" applyNumberFormat="1" applyFill="1" applyBorder="1"/>
    <xf numFmtId="0" fontId="0" fillId="8" borderId="16" xfId="0" applyFill="1" applyBorder="1"/>
    <xf numFmtId="164" fontId="0" fillId="8" borderId="16" xfId="0" applyNumberFormat="1" applyFill="1" applyBorder="1"/>
    <xf numFmtId="164" fontId="0" fillId="8" borderId="4" xfId="0" applyNumberFormat="1" applyFill="1" applyBorder="1"/>
    <xf numFmtId="164" fontId="0" fillId="8" borderId="17" xfId="0" applyNumberFormat="1" applyFill="1" applyBorder="1"/>
    <xf numFmtId="164" fontId="0" fillId="0" borderId="17" xfId="0" applyNumberFormat="1" applyBorder="1"/>
    <xf numFmtId="164" fontId="0" fillId="9" borderId="15" xfId="0" applyNumberFormat="1" applyFill="1" applyBorder="1"/>
    <xf numFmtId="0" fontId="0" fillId="10" borderId="15" xfId="0" applyFill="1" applyBorder="1"/>
    <xf numFmtId="0" fontId="0" fillId="0" borderId="0" xfId="0" applyFill="1" applyBorder="1"/>
    <xf numFmtId="0" fontId="0" fillId="7" borderId="17" xfId="0" applyFill="1" applyBorder="1"/>
    <xf numFmtId="164" fontId="0" fillId="9" borderId="17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42">
    <dxf>
      <numFmt numFmtId="164" formatCode="&quot;R$&quot;\ #,##0.0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(Corpo)"/>
        <scheme val="none"/>
      </font>
      <fill>
        <patternFill patternType="solid">
          <fgColor indexed="64"/>
          <bgColor theme="2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(Corpo)"/>
        <scheme val="none"/>
      </font>
      <fill>
        <patternFill patternType="solid">
          <fgColor indexed="64"/>
          <bgColor theme="2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304B84B-CCDF-4426-AE91-89EF01D8B8FE}" autoFormatId="16" applyNumberFormats="0" applyBorderFormats="0" applyFontFormats="0" applyPatternFormats="0" applyAlignmentFormats="0" applyWidthHeightFormats="0">
  <queryTableRefresh nextId="10">
    <queryTableFields count="9">
      <queryTableField id="1" name="MacroRegião" tableColumnId="1"/>
      <queryTableField id="2" name="Região" tableColumnId="2"/>
      <queryTableField id="3" name="Veículo" tableColumnId="3"/>
      <queryTableField id="4" name="KmMin" tableColumnId="4"/>
      <queryTableField id="5" name="KmMax" tableColumnId="5"/>
      <queryTableField id="6" name="CustoFixo" tableColumnId="6"/>
      <queryTableField id="7" name="Vlr_0_60" tableColumnId="7"/>
      <queryTableField id="8" name="Vlr_61_90" tableColumnId="8"/>
      <queryTableField id="9" name="Vlr_91_mai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6CDC20-2398-4714-BE9B-4445307AE25A}" autoFormatId="16" applyNumberFormats="0" applyBorderFormats="0" applyFontFormats="0" applyPatternFormats="0" applyAlignmentFormats="0" applyWidthHeightFormats="0">
  <queryTableRefresh nextId="20">
    <queryTableFields count="5">
      <queryTableField id="3" name="Veículo" tableColumnId="3"/>
      <queryTableField id="13" name="KmMin" tableColumnId="1"/>
      <queryTableField id="14" name="KmMax" tableColumnId="2"/>
      <queryTableField id="15" name="CustoFixo" tableColumnId="4"/>
      <queryTableField id="12" name="Chav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ACD4E0-AC56-4C2B-B6DF-34B22D25F14B}" autoFormatId="16" applyNumberFormats="0" applyBorderFormats="0" applyFontFormats="0" applyPatternFormats="0" applyAlignmentFormats="0" applyWidthHeightFormats="0">
  <queryTableRefresh nextId="14">
    <queryTableFields count="6">
      <queryTableField id="10" name="MacroRegião" tableColumnId="1"/>
      <queryTableField id="11" name="Região" tableColumnId="2"/>
      <queryTableField id="6" name="Vlr_0_60" tableColumnId="6"/>
      <queryTableField id="7" name="Vlr_61_90" tableColumnId="7"/>
      <queryTableField id="8" name="Vlr_91_mais" tableColumnId="8"/>
      <queryTableField id="9" name="Chav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30563-5B7B-47A2-A8FB-80B423D2C256}" name="Table3" displayName="Table3" ref="A1:G11" totalsRowShown="0" headerRowDxfId="1" tableBorderDxfId="8">
  <autoFilter ref="A1:G11" xr:uid="{A5F30563-5B7B-47A2-A8FB-80B423D2C256}"/>
  <tableColumns count="7">
    <tableColumn id="1" xr3:uid="{AD3C2095-D9A4-47AC-95D1-F4CB4FBDEF01}" name="Região" dataDxfId="7"/>
    <tableColumn id="2" xr3:uid="{309483DD-1A9C-44CD-A291-A02DFEAC5C6B}" name="Tipo do Veículo" dataDxfId="6"/>
    <tableColumn id="3" xr3:uid="{B0C688CB-9E5C-4B79-A705-0107CF1DFA99}" name="KM" dataDxfId="5"/>
    <tableColumn id="4" xr3:uid="{DCB09BC8-3D7E-40A9-AE86-5EE35A666A45}" name="Paradas" dataDxfId="4"/>
    <tableColumn id="5" xr3:uid="{D091A678-DF26-4DFC-9800-A75BD9C039E6}" name="Valor Total" dataDxfId="0">
      <calculatedColumnFormula>IF(OR(A2="",B2="",C2="",D2=""),"",IFERROR(SUMIFS(Tabela_Final[CustoFixo],Tabela_Final[Região],A2,Tabela_Final[Veículo],B2,Tabela_Final[KmMin],"&lt;="&amp;C2,Tabela_Final[KmMax],"&gt;="&amp;C2)+MIN(D2,60)*AVERAGEIFS(Tabela_Final[Vlr_0_60],Tabela_Final[Região],A2)+MAX(0,MIN(D2-60,30))*AVERAGEIFS(Tabela_Final[Vlr_61_90],Tabela_Final[Região],A2)+MAX(0,D2-90)*AVERAGEIFS(Tabela_Final[Vlr_91_mais],Tabela_Final[Região],A2),0))</calculatedColumnFormula>
    </tableColumn>
    <tableColumn id="6" xr3:uid="{60245F38-EC61-429E-8DC2-46ED95367ECB}" name="Custo Fixo" dataDxfId="3">
      <calculatedColumnFormula>IFERROR(SUMIFS(Tabela_Final[CustoFixo],Tabela_Final[Região],A2,Tabela_Final[Veículo],B2,Tabela_Final[KmMin],"&lt;="&amp;C2,Tabela_Final[KmMax],"&gt;="&amp;C2),0)</calculatedColumnFormula>
    </tableColumn>
    <tableColumn id="7" xr3:uid="{E45B0A00-84CF-4AF5-9C6D-C2488309F678}" name="Custo Variável" dataDxfId="2">
      <calculatedColumnFormula>IFERROR(MIN(D2,60)*AVERAGEIFS(Tabela_Final[Vlr_0_60],Tabela_Final[Região],A2)+MAX(0,MIN(D2-60,30))*AVERAGEIFS(Tabela_Final[Vlr_61_90],Tabela_Final[Região],A2)+MAX(0,D2-90)*AVERAGEIFS(Tabela_Final[Vlr_91_mais],Tabela_Final[Região],A2),0)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5A735-73E1-4CAA-BF64-CEA7A3D85CFC}" name="Tabela_Final" displayName="Tabela_Final" ref="A1:I241" tableType="queryTable" totalsRowShown="0">
  <autoFilter ref="A1:I241" xr:uid="{D145A735-73E1-4CAA-BF64-CEA7A3D85CFC}"/>
  <tableColumns count="9">
    <tableColumn id="1" xr3:uid="{170D8051-9159-4560-BB62-B22E2B9AA5BB}" uniqueName="1" name="MacroRegião" queryTableFieldId="1" dataDxfId="41"/>
    <tableColumn id="2" xr3:uid="{0C95D0B9-BD59-4CD5-AEAB-3A3D07428D49}" uniqueName="2" name="Região" queryTableFieldId="2" dataDxfId="40"/>
    <tableColumn id="3" xr3:uid="{8FFAE78C-9196-4EB4-B686-5B28787F1B53}" uniqueName="3" name="Veículo" queryTableFieldId="3" dataDxfId="39"/>
    <tableColumn id="4" xr3:uid="{0E81445A-C6C7-4E12-9C09-CFBE3CF70145}" uniqueName="4" name="KmMin" queryTableFieldId="4"/>
    <tableColumn id="5" xr3:uid="{D38BA403-0A52-4A32-80D8-9273327A6BE8}" uniqueName="5" name="KmMax" queryTableFieldId="5"/>
    <tableColumn id="6" xr3:uid="{507CDC25-0A22-4599-B1F7-8029E5E7254E}" uniqueName="6" name="CustoFixo" queryTableFieldId="6" dataDxfId="12"/>
    <tableColumn id="7" xr3:uid="{D9B3837E-0CED-4B4B-9671-7FAD7D6EFBE6}" uniqueName="7" name="Vlr_0_60" queryTableFieldId="7" dataDxfId="11"/>
    <tableColumn id="8" xr3:uid="{5F286E6B-9609-4E09-B7A6-03EDC02E02B0}" uniqueName="8" name="Vlr_61_90" queryTableFieldId="8" dataDxfId="10"/>
    <tableColumn id="9" xr3:uid="{CBD5B43F-A949-43B5-8B18-2BE74496E78A}" uniqueName="9" name="Vlr_91_mais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A7256-FE08-47BD-82FE-7B865E55913E}" name="KM_Veículos" displayName="KM_Veículos" ref="A1:E21" tableType="queryTable" totalsRowShown="0">
  <autoFilter ref="A1:E21" xr:uid="{5EAA7256-FE08-47BD-82FE-7B865E55913E}"/>
  <tableColumns count="5">
    <tableColumn id="3" xr3:uid="{2F409499-5BF9-4587-85DA-29BFFF682A5F}" uniqueName="3" name="Veículo" queryTableFieldId="3" dataDxfId="16"/>
    <tableColumn id="1" xr3:uid="{9BD84C4D-70CB-4E2C-99E8-4C98A2452F84}" uniqueName="1" name="KmMin" queryTableFieldId="13"/>
    <tableColumn id="2" xr3:uid="{19C05491-CFCC-4557-B0C8-442BFADA4686}" uniqueName="2" name="KmMax" queryTableFieldId="14"/>
    <tableColumn id="4" xr3:uid="{D9239C42-9025-451A-9090-97F4790757EF}" uniqueName="4" name="CustoFixo" queryTableFieldId="15"/>
    <tableColumn id="10" xr3:uid="{9A3A6652-FD52-4202-8497-125AB806A2DC}" uniqueName="10" name="Chave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268FA4-A569-4C25-B92B-070BD73EB92D}" name="Região_Paradas" displayName="Região_Paradas" ref="A1:F13" tableType="queryTable" totalsRowShown="0">
  <autoFilter ref="A1:F13" xr:uid="{19268FA4-A569-4C25-B92B-070BD73EB92D}"/>
  <tableColumns count="6">
    <tableColumn id="1" xr3:uid="{DAC3792D-2780-4875-93CB-2D11581474F7}" uniqueName="1" name="MacroRegião" queryTableFieldId="10" dataDxfId="38"/>
    <tableColumn id="2" xr3:uid="{D1D1ABAA-6A95-48A1-B574-78EFF6BBAC2E}" uniqueName="2" name="Região" queryTableFieldId="11" dataDxfId="37"/>
    <tableColumn id="6" xr3:uid="{0CD932CD-7F67-457A-80E7-1FCEE2D079F5}" uniqueName="6" name="Vlr_0_60" queryTableFieldId="6" dataDxfId="15"/>
    <tableColumn id="7" xr3:uid="{D0333D76-71C5-44A8-B461-982DCF1665DF}" uniqueName="7" name="Vlr_61_90" queryTableFieldId="7" dataDxfId="14"/>
    <tableColumn id="8" xr3:uid="{DDBF9B76-EC00-4391-8051-CBB9ACEB622C}" uniqueName="8" name="Vlr_91_mais" queryTableFieldId="8" dataDxfId="13"/>
    <tableColumn id="9" xr3:uid="{95B61DCF-F51F-43AF-9810-7F98449D98B9}" uniqueName="9" name="Chav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E186A3-B974-426F-ABAC-CC98C4581260}" name="Table5" displayName="Table5" ref="A1:F6" totalsRowShown="0" headerRowDxfId="36" dataDxfId="34" headerRowBorderDxfId="35" tableBorderDxfId="33" totalsRowBorderDxfId="32">
  <autoFilter ref="A1:F6" xr:uid="{CEE186A3-B974-426F-ABAC-CC98C4581260}"/>
  <tableColumns count="6">
    <tableColumn id="1" xr3:uid="{2B0F05ED-9E18-4E6C-9BE2-C385AD32F1B6}" name="Km Min" dataDxfId="31"/>
    <tableColumn id="2" xr3:uid="{ECB3B427-F249-4D07-927C-4DAB0D5B9595}" name="Km Max" dataDxfId="30"/>
    <tableColumn id="3" xr3:uid="{221BC0C8-499A-4972-81AD-45106F9E48A8}" name="Risco" dataDxfId="29"/>
    <tableColumn id="4" xr3:uid="{EA79664F-817F-4EB3-96F1-F6BB3C1A2CBF}" name="Utilitário" dataDxfId="28"/>
    <tableColumn id="5" xr3:uid="{13D7F4A8-4ADA-478A-A018-E12FB9DD7BCA}" name="Van" dataDxfId="27"/>
    <tableColumn id="6" xr3:uid="{477F8E15-6322-4AF2-94C1-7B8F6743BE3E}" name="Vuc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1083C0-3EC4-42EE-BA92-25B6F66C8324}" name="Table7" displayName="Table7" ref="H1:L13" totalsRowShown="0" headerRowDxfId="25" headerRowBorderDxfId="24" tableBorderDxfId="23" totalsRowBorderDxfId="22">
  <autoFilter ref="H1:L13" xr:uid="{731083C0-3EC4-42EE-BA92-25B6F66C8324}"/>
  <tableColumns count="5">
    <tableColumn id="1" xr3:uid="{6AE62C52-48E5-45F0-9DF0-721BDEA82044}" name="MacroRegião" dataDxfId="21"/>
    <tableColumn id="2" xr3:uid="{AC540082-D89C-413F-BE52-96DDF709F373}" name="Região" dataDxfId="20"/>
    <tableColumn id="3" xr3:uid="{8B99FC79-DD74-4346-8E7B-DF3EA2FF93DB}" name="0-60" dataDxfId="19"/>
    <tableColumn id="4" xr3:uid="{83EAF355-0C63-4BA3-907E-6496922B57FF}" name="61-90" dataDxfId="18"/>
    <tableColumn id="5" xr3:uid="{F1B920CD-44B4-4B92-B26B-42793CC835B2}" name="&gt;91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1107-0EAA-4E49-92B1-0BEF11060642}">
  <dimension ref="A1:J22"/>
  <sheetViews>
    <sheetView tabSelected="1" zoomScaleNormal="100" workbookViewId="0">
      <pane ySplit="1" topLeftCell="A2" activePane="bottomLeft" state="frozen"/>
      <selection pane="bottomLeft" activeCell="H14" sqref="H14"/>
    </sheetView>
  </sheetViews>
  <sheetFormatPr defaultColWidth="12.796875" defaultRowHeight="15.6"/>
  <cols>
    <col min="1" max="1" width="19.19921875" customWidth="1"/>
    <col min="2" max="2" width="15.69921875" customWidth="1"/>
    <col min="3" max="3" width="8" customWidth="1"/>
    <col min="4" max="4" width="9.296875" customWidth="1"/>
    <col min="5" max="5" width="11.8984375" customWidth="1"/>
    <col min="6" max="6" width="11.296875" hidden="1" customWidth="1"/>
    <col min="7" max="7" width="14.69921875" hidden="1" customWidth="1"/>
    <col min="8" max="8" width="13" bestFit="1" customWidth="1"/>
  </cols>
  <sheetData>
    <row r="1" spans="1:8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40</v>
      </c>
      <c r="G1" s="1" t="s">
        <v>53</v>
      </c>
    </row>
    <row r="2" spans="1:8">
      <c r="A2" s="37" t="s">
        <v>5</v>
      </c>
      <c r="B2" s="37" t="s">
        <v>6</v>
      </c>
      <c r="C2" s="37">
        <v>248</v>
      </c>
      <c r="D2" s="37">
        <v>36</v>
      </c>
      <c r="E2" s="63">
        <f>IF(OR(A2="",B2="",C2="",D2=""),"",IFERROR(SUMIFS(Tabela_Final[CustoFixo],Tabela_Final[Região],A2,Tabela_Final[Veículo],B2,Tabela_Final[KmMin],"&lt;="&amp;C2,Tabela_Final[KmMax],"&gt;="&amp;C2)+MIN(D2,60)*AVERAGEIFS(Tabela_Final[Vlr_0_60],Tabela_Final[Região],A2)+MAX(0,MIN(D2-60,30))*AVERAGEIFS(Tabela_Final[Vlr_61_90],Tabela_Final[Região],A2)+MAX(0,D2-90)*AVERAGEIFS(Tabela_Final[Vlr_91_mais],Tabela_Final[Região],A2),0))</f>
        <v>532.6</v>
      </c>
      <c r="F2" s="38">
        <f>IFERROR(SUMIFS(Tabela_Final[CustoFixo],Tabela_Final[Região],A2,Tabela_Final[Veículo],B2,Tabela_Final[KmMin],"&lt;="&amp;C2,Tabela_Final[KmMax],"&gt;="&amp;C2),0)</f>
        <v>511</v>
      </c>
      <c r="G2" s="38">
        <f>IFERROR(MIN(D2,60)*AVERAGEIFS(Tabela_Final[Vlr_0_60],Tabela_Final[Região],A2)+MAX(0,MIN(D2-60,30))*AVERAGEIFS(Tabela_Final[Vlr_61_90],Tabela_Final[Região],A2)+MAX(0,D2-90)*AVERAGEIFS(Tabela_Final[Vlr_91_mais],Tabela_Final[Região],A2),0)</f>
        <v>21.599999999999994</v>
      </c>
    </row>
    <row r="3" spans="1:8">
      <c r="A3" s="37" t="s">
        <v>7</v>
      </c>
      <c r="B3" s="37" t="s">
        <v>8</v>
      </c>
      <c r="C3" s="37">
        <v>111</v>
      </c>
      <c r="D3" s="37">
        <v>62</v>
      </c>
      <c r="E3" s="63">
        <f>IF(OR(A3="",B3="",C3="",D3=""),"",IFERROR(SUMIFS(Tabela_Final[CustoFixo],Tabela_Final[Região],A3,Tabela_Final[Veículo],B3,Tabela_Final[KmMin],"&lt;="&amp;C3,Tabela_Final[KmMax],"&gt;="&amp;C3)+MIN(D3,60)*AVERAGEIFS(Tabela_Final[Vlr_0_60],Tabela_Final[Região],A3)+MAX(0,MIN(D3-60,30))*AVERAGEIFS(Tabela_Final[Vlr_61_90],Tabela_Final[Região],A3)+MAX(0,D3-90)*AVERAGEIFS(Tabela_Final[Vlr_91_mais],Tabela_Final[Região],A3),0))</f>
        <v>337</v>
      </c>
      <c r="F3" s="38">
        <f>IFERROR(SUMIFS(Tabela_Final[CustoFixo],Tabela_Final[Região],A3,Tabela_Final[Veículo],B3,Tabela_Final[KmMin],"&lt;="&amp;C3,Tabela_Final[KmMax],"&gt;="&amp;C3),0)</f>
        <v>295</v>
      </c>
      <c r="G3" s="38">
        <f>IFERROR(MIN(D3,60)*AVERAGEIFS(Tabela_Final[Vlr_0_60],Tabela_Final[Região],A3)+MAX(0,MIN(D3-60,30))*AVERAGEIFS(Tabela_Final[Vlr_61_90],Tabela_Final[Região],A3)+MAX(0,D3-90)*AVERAGEIFS(Tabela_Final[Vlr_91_mais],Tabela_Final[Região],A3),0)</f>
        <v>42.000000000000007</v>
      </c>
    </row>
    <row r="4" spans="1:8">
      <c r="A4" s="37" t="s">
        <v>9</v>
      </c>
      <c r="B4" s="37" t="s">
        <v>10</v>
      </c>
      <c r="C4" s="37">
        <v>399</v>
      </c>
      <c r="D4" s="37">
        <v>111</v>
      </c>
      <c r="E4" s="63">
        <f>IF(OR(A4="",B4="",C4="",D4=""),"",IFERROR(SUMIFS(Tabela_Final[CustoFixo],Tabela_Final[Região],A4,Tabela_Final[Veículo],B4,Tabela_Final[KmMin],"&lt;="&amp;C4,Tabela_Final[KmMax],"&gt;="&amp;C4)+MIN(D4,60)*AVERAGEIFS(Tabela_Final[Vlr_0_60],Tabela_Final[Região],A4)+MAX(0,MIN(D4-60,30))*AVERAGEIFS(Tabela_Final[Vlr_61_90],Tabela_Final[Região],A4)+MAX(0,D4-90)*AVERAGEIFS(Tabela_Final[Vlr_91_mais],Tabela_Final[Região],A4),0))</f>
        <v>711.8</v>
      </c>
      <c r="F4" s="38">
        <f>IFERROR(SUMIFS(Tabela_Final[CustoFixo],Tabela_Final[Região],A4,Tabela_Final[Veículo],B4,Tabela_Final[KmMin],"&lt;="&amp;C4,Tabela_Final[KmMax],"&gt;="&amp;C4),0)</f>
        <v>605</v>
      </c>
      <c r="G4" s="38">
        <f>IFERROR(MIN(D4,60)*AVERAGEIFS(Tabela_Final[Vlr_0_60],Tabela_Final[Região],A4)+MAX(0,MIN(D4-60,30))*AVERAGEIFS(Tabela_Final[Vlr_61_90],Tabela_Final[Região],A4)+MAX(0,D4-90)*AVERAGEIFS(Tabela_Final[Vlr_91_mais],Tabela_Final[Região],A4),0)</f>
        <v>106.80000000000001</v>
      </c>
    </row>
    <row r="5" spans="1:8">
      <c r="A5" s="37" t="s">
        <v>11</v>
      </c>
      <c r="B5" s="37" t="s">
        <v>12</v>
      </c>
      <c r="C5" s="37">
        <v>300</v>
      </c>
      <c r="D5" s="37">
        <v>74</v>
      </c>
      <c r="E5" s="63">
        <f>IF(OR(A5="",B5="",C5="",D5=""),"",IFERROR(SUMIFS(Tabela_Final[CustoFixo],Tabela_Final[Região],A5,Tabela_Final[Veículo],B5,Tabela_Final[KmMin],"&lt;="&amp;C5,Tabela_Final[KmMax],"&gt;="&amp;C5)+MIN(D5,60)*AVERAGEIFS(Tabela_Final[Vlr_0_60],Tabela_Final[Região],A5)+MAX(0,MIN(D5-60,30))*AVERAGEIFS(Tabela_Final[Vlr_61_90],Tabela_Final[Região],A5)+MAX(0,D5-90)*AVERAGEIFS(Tabela_Final[Vlr_91_mais],Tabela_Final[Região],A5),0))</f>
        <v>517.20000000000005</v>
      </c>
      <c r="F5" s="38">
        <f>IFERROR(SUMIFS(Tabela_Final[CustoFixo],Tabela_Final[Região],A5,Tabela_Final[Veículo],B5,Tabela_Final[KmMin],"&lt;="&amp;C5,Tabela_Final[KmMax],"&gt;="&amp;C5),0)</f>
        <v>464</v>
      </c>
      <c r="G5" s="38">
        <f>IFERROR(MIN(D5,60)*AVERAGEIFS(Tabela_Final[Vlr_0_60],Tabela_Final[Região],A5)+MAX(0,MIN(D5-60,30))*AVERAGEIFS(Tabela_Final[Vlr_61_90],Tabela_Final[Região],A5)+MAX(0,D5-90)*AVERAGEIFS(Tabela_Final[Vlr_91_mais],Tabela_Final[Região],A5),0)</f>
        <v>53.199999999999982</v>
      </c>
    </row>
    <row r="6" spans="1:8">
      <c r="A6" s="37" t="s">
        <v>13</v>
      </c>
      <c r="B6" s="37" t="s">
        <v>10</v>
      </c>
      <c r="C6" s="37">
        <v>150</v>
      </c>
      <c r="D6" s="37">
        <v>10</v>
      </c>
      <c r="E6" s="63">
        <f>IF(OR(A6="",B6="",C6="",D6=""),"",IFERROR(SUMIFS(Tabela_Final[CustoFixo],Tabela_Final[Região],A6,Tabela_Final[Veículo],B6,Tabela_Final[KmMin],"&lt;="&amp;C6,Tabela_Final[KmMax],"&gt;="&amp;C6)+MIN(D6,60)*AVERAGEIFS(Tabela_Final[Vlr_0_60],Tabela_Final[Região],A6)+MAX(0,MIN(D6-60,30))*AVERAGEIFS(Tabela_Final[Vlr_61_90],Tabela_Final[Região],A6)+MAX(0,D6-90)*AVERAGEIFS(Tabela_Final[Vlr_91_mais],Tabela_Final[Região],A6),0))</f>
        <v>461.5</v>
      </c>
      <c r="F6" s="38">
        <f>IFERROR(SUMIFS(Tabela_Final[CustoFixo],Tabela_Final[Região],A6,Tabela_Final[Veículo],B6,Tabela_Final[KmMin],"&lt;="&amp;C6,Tabela_Final[KmMax],"&gt;="&amp;C6),0)</f>
        <v>455</v>
      </c>
      <c r="G6" s="38">
        <f>IFERROR(MIN(D6,60)*AVERAGEIFS(Tabela_Final[Vlr_0_60],Tabela_Final[Região],A6)+MAX(0,MIN(D6-60,30))*AVERAGEIFS(Tabela_Final[Vlr_61_90],Tabela_Final[Região],A6)+MAX(0,D6-90)*AVERAGEIFS(Tabela_Final[Vlr_91_mais],Tabela_Final[Região],A6),0)</f>
        <v>6.5000000000000018</v>
      </c>
    </row>
    <row r="7" spans="1:8">
      <c r="A7" s="37" t="s">
        <v>14</v>
      </c>
      <c r="B7" s="37" t="s">
        <v>12</v>
      </c>
      <c r="C7" s="37">
        <v>123</v>
      </c>
      <c r="D7" s="37">
        <v>150</v>
      </c>
      <c r="E7" s="63">
        <f>IF(OR(A7="",B7="",C7="",D7=""),"",IFERROR(SUMIFS(Tabela_Final[CustoFixo],Tabela_Final[Região],A7,Tabela_Final[Veículo],B7,Tabela_Final[KmMin],"&lt;="&amp;C7,Tabela_Final[KmMax],"&gt;="&amp;C7)+MIN(D7,60)*AVERAGEIFS(Tabela_Final[Vlr_0_60],Tabela_Final[Região],A7)+MAX(0,MIN(D7-60,30))*AVERAGEIFS(Tabela_Final[Vlr_61_90],Tabela_Final[Região],A7)+MAX(0,D7-90)*AVERAGEIFS(Tabela_Final[Vlr_91_mais],Tabela_Final[Região],A7),0))</f>
        <v>473</v>
      </c>
      <c r="F7" s="38">
        <f>IFERROR(SUMIFS(Tabela_Final[CustoFixo],Tabela_Final[Região],A7,Tabela_Final[Veículo],B7,Tabela_Final[KmMin],"&lt;="&amp;C7,Tabela_Final[KmMax],"&gt;="&amp;C7),0)</f>
        <v>368</v>
      </c>
      <c r="G7" s="38">
        <f>IFERROR(MIN(D7,60)*AVERAGEIFS(Tabela_Final[Vlr_0_60],Tabela_Final[Região],A7)+MAX(0,MIN(D7-60,30))*AVERAGEIFS(Tabela_Final[Vlr_61_90],Tabela_Final[Região],A7)+MAX(0,D7-90)*AVERAGEIFS(Tabela_Final[Vlr_91_mais],Tabela_Final[Região],A7),0)</f>
        <v>105</v>
      </c>
    </row>
    <row r="8" spans="1:8">
      <c r="A8" s="37" t="s">
        <v>15</v>
      </c>
      <c r="B8" s="37" t="s">
        <v>8</v>
      </c>
      <c r="C8" s="37">
        <v>2</v>
      </c>
      <c r="D8" s="37">
        <v>122</v>
      </c>
      <c r="E8" s="63">
        <f>IF(OR(A8="",B8="",C8="",D8=""),"",IFERROR(SUMIFS(Tabela_Final[CustoFixo],Tabela_Final[Região],A8,Tabela_Final[Veículo],B8,Tabela_Final[KmMin],"&lt;="&amp;C8,Tabela_Final[KmMax],"&gt;="&amp;C8)+MIN(D8,60)*AVERAGEIFS(Tabela_Final[Vlr_0_60],Tabela_Final[Região],A8)+MAX(0,MIN(D8-60,30))*AVERAGEIFS(Tabela_Final[Vlr_61_90],Tabela_Final[Região],A8)+MAX(0,D8-90)*AVERAGEIFS(Tabela_Final[Vlr_91_mais],Tabela_Final[Região],A8),0))</f>
        <v>378</v>
      </c>
      <c r="F8" s="38">
        <f>IFERROR(SUMIFS(Tabela_Final[CustoFixo],Tabela_Final[Região],A8,Tabela_Final[Veículo],B8,Tabela_Final[KmMin],"&lt;="&amp;C8,Tabela_Final[KmMax],"&gt;="&amp;C8),0)</f>
        <v>255</v>
      </c>
      <c r="G8" s="38">
        <f>IFERROR(MIN(D8,60)*AVERAGEIFS(Tabela_Final[Vlr_0_60],Tabela_Final[Região],A8)+MAX(0,MIN(D8-60,30))*AVERAGEIFS(Tabela_Final[Vlr_61_90],Tabela_Final[Região],A8)+MAX(0,D8-90)*AVERAGEIFS(Tabela_Final[Vlr_91_mais],Tabela_Final[Região],A8),0)</f>
        <v>123</v>
      </c>
    </row>
    <row r="9" spans="1:8">
      <c r="A9" s="37" t="s">
        <v>7</v>
      </c>
      <c r="B9" s="37" t="s">
        <v>12</v>
      </c>
      <c r="C9" s="37">
        <v>245</v>
      </c>
      <c r="D9" s="37">
        <v>60</v>
      </c>
      <c r="E9" s="63">
        <f>IF(OR(A9="",B9="",C9="",D9=""),"",IFERROR(SUMIFS(Tabela_Final[CustoFixo],Tabela_Final[Região],A9,Tabela_Final[Veículo],B9,Tabela_Final[KmMin],"&lt;="&amp;C9,Tabela_Final[KmMax],"&gt;="&amp;C9)+MIN(D9,60)*AVERAGEIFS(Tabela_Final[Vlr_0_60],Tabela_Final[Região],A9)+MAX(0,MIN(D9-60,30))*AVERAGEIFS(Tabela_Final[Vlr_61_90],Tabela_Final[Região],A9)+MAX(0,D9-90)*AVERAGEIFS(Tabela_Final[Vlr_91_mais],Tabela_Final[Região],A9),0))</f>
        <v>503</v>
      </c>
      <c r="F9" s="38">
        <f>IFERROR(SUMIFS(Tabela_Final[CustoFixo],Tabela_Final[Região],A9,Tabela_Final[Veículo],B9,Tabela_Final[KmMin],"&lt;="&amp;C9,Tabela_Final[KmMax],"&gt;="&amp;C9),0)</f>
        <v>464</v>
      </c>
      <c r="G9" s="38">
        <f>IFERROR(MIN(D9,60)*AVERAGEIFS(Tabela_Final[Vlr_0_60],Tabela_Final[Região],A9)+MAX(0,MIN(D9-60,30))*AVERAGEIFS(Tabela_Final[Vlr_61_90],Tabela_Final[Região],A9)+MAX(0,D9-90)*AVERAGEIFS(Tabela_Final[Vlr_91_mais],Tabela_Final[Região],A9),0)</f>
        <v>39.000000000000007</v>
      </c>
    </row>
    <row r="10" spans="1:8">
      <c r="A10" s="37" t="s">
        <v>16</v>
      </c>
      <c r="B10" s="37" t="s">
        <v>6</v>
      </c>
      <c r="C10" s="37">
        <v>56</v>
      </c>
      <c r="D10" s="37">
        <v>61</v>
      </c>
      <c r="E10" s="63">
        <f>IF(OR(A10="",B10="",C10="",D10=""),"",IFERROR(SUMIFS(Tabela_Final[CustoFixo],Tabela_Final[Região],A10,Tabela_Final[Veículo],B10,Tabela_Final[KmMin],"&lt;="&amp;C10,Tabela_Final[KmMax],"&gt;="&amp;C10)+MIN(D10,60)*AVERAGEIFS(Tabela_Final[Vlr_0_60],Tabela_Final[Região],A10)+MAX(0,MIN(D10-60,30))*AVERAGEIFS(Tabela_Final[Vlr_61_90],Tabela_Final[Região],A10)+MAX(0,D10-90)*AVERAGEIFS(Tabela_Final[Vlr_91_mais],Tabela_Final[Região],A10),0))</f>
        <v>383.5</v>
      </c>
      <c r="F10" s="38">
        <f>IFERROR(SUMIFS(Tabela_Final[CustoFixo],Tabela_Final[Região],A10,Tabela_Final[Veículo],B10,Tabela_Final[KmMin],"&lt;="&amp;C10,Tabela_Final[KmMax],"&gt;="&amp;C10),0)</f>
        <v>352</v>
      </c>
      <c r="G10" s="38">
        <f>IFERROR(MIN(D10,60)*AVERAGEIFS(Tabela_Final[Vlr_0_60],Tabela_Final[Região],A10)+MAX(0,MIN(D10-60,30))*AVERAGEIFS(Tabela_Final[Vlr_61_90],Tabela_Final[Região],A10)+MAX(0,D10-90)*AVERAGEIFS(Tabela_Final[Vlr_91_mais],Tabela_Final[Região],A10),0)</f>
        <v>31.5</v>
      </c>
    </row>
    <row r="11" spans="1:8">
      <c r="A11" s="66" t="s">
        <v>17</v>
      </c>
      <c r="B11" s="66" t="s">
        <v>12</v>
      </c>
      <c r="C11" s="66">
        <v>84</v>
      </c>
      <c r="D11" s="66">
        <v>59</v>
      </c>
      <c r="E11" s="67">
        <f>IF(OR(A11="",B11="",C11="",D11=""),"",IFERROR(SUMIFS(Tabela_Final[CustoFixo],Tabela_Final[Região],A11,Tabela_Final[Veículo],B11,Tabela_Final[KmMin],"&lt;="&amp;C11,Tabela_Final[KmMax],"&gt;="&amp;C11)+MIN(D11,60)*AVERAGEIFS(Tabela_Final[Vlr_0_60],Tabela_Final[Região],A11)+MAX(0,MIN(D11-60,30))*AVERAGEIFS(Tabela_Final[Vlr_61_90],Tabela_Final[Região],A11)+MAX(0,D11-90)*AVERAGEIFS(Tabela_Final[Vlr_91_mais],Tabela_Final[Região],A11),0))</f>
        <v>349.5</v>
      </c>
      <c r="F11" s="61">
        <f>IFERROR(SUMIFS(Tabela_Final[CustoFixo],Tabela_Final[Região],A11,Tabela_Final[Veículo],B11,Tabela_Final[KmMin],"&lt;="&amp;C11,Tabela_Final[KmMax],"&gt;="&amp;C11),0)</f>
        <v>320</v>
      </c>
      <c r="G11" s="61">
        <f>IFERROR(MIN(D11,60)*AVERAGEIFS(Tabela_Final[Vlr_0_60],Tabela_Final[Região],A11)+MAX(0,MIN(D11-60,30))*AVERAGEIFS(Tabela_Final[Vlr_61_90],Tabela_Final[Região],A11)+MAX(0,D11-90)*AVERAGEIFS(Tabela_Final[Vlr_91_mais],Tabela_Final[Região],A11),0)</f>
        <v>29.5</v>
      </c>
    </row>
    <row r="12" spans="1:8">
      <c r="A12" s="65"/>
      <c r="B12" s="65"/>
      <c r="C12" s="65"/>
      <c r="D12" s="65"/>
      <c r="E12" s="68" t="str">
        <f>IF(OR(A12="",B12="",C12="",D12=""),"",IFERROR(SUMIFS(Tabela_Final[CustoFixo],Tabela_Final[Região],A12,Tabela_Final[Veículo],B12,Tabela_Final[KmMin],"&lt;="&amp;C12,Tabela_Final[KmMax],"&gt;="&amp;C12)+MIN(D12,60)*AVERAGEIFS(Tabela_Final[Vlr_0_60],Tabela_Final[Região],A12)+MAX(0,MIN(D12-60,30))*AVERAGEIFS(Tabela_Final[Vlr_61_90],Tabela_Final[Região],A12)+MAX(0,D12-90)*AVERAGEIFS(Tabela_Final[Vlr_91_mais],Tabela_Final[Região],A12),0))</f>
        <v/>
      </c>
      <c r="F12" s="60">
        <f>IFERROR(SUMIFS(Tabela_Final[CustoFixo],Tabela_Final[Região],A12,Tabela_Final[Veículo],B12,Tabela_Final[KmMin],"&lt;="&amp;C12,Tabela_Final[KmMax],"&gt;="&amp;C12),0)</f>
        <v>0</v>
      </c>
      <c r="G12" s="61">
        <f>IFERROR(MIN(D12,60)*AVERAGEIFS(Tabela_Final[Vlr_0_60],Tabela_Final[Região],A12)+MAX(0,MIN(D12-60,30))*AVERAGEIFS(Tabela_Final[Vlr_61_90],Tabela_Final[Região],A12)+MAX(0,D12-90)*AVERAGEIFS(Tabela_Final[Vlr_91_mais],Tabela_Final[Região],A12),0)</f>
        <v>0</v>
      </c>
      <c r="H12" s="3"/>
    </row>
    <row r="13" spans="1:8">
      <c r="F13" s="3"/>
      <c r="G13" s="3"/>
      <c r="H13" s="3"/>
    </row>
    <row r="14" spans="1:8">
      <c r="F14" s="3"/>
      <c r="G14" s="3"/>
      <c r="H14" s="3"/>
    </row>
    <row r="15" spans="1:8">
      <c r="F15" s="3"/>
      <c r="G15" s="3"/>
      <c r="H15" s="3"/>
    </row>
    <row r="16" spans="1:8">
      <c r="F16" s="3"/>
      <c r="G16" s="3"/>
      <c r="H16" s="3"/>
    </row>
    <row r="17" spans="6:8">
      <c r="F17" s="3"/>
      <c r="G17" s="3"/>
      <c r="H17" s="3"/>
    </row>
    <row r="18" spans="6:8">
      <c r="F18" s="3"/>
      <c r="G18" s="3"/>
      <c r="H18" s="3"/>
    </row>
    <row r="19" spans="6:8">
      <c r="F19" s="3"/>
      <c r="G19" s="3"/>
      <c r="H19" s="3"/>
    </row>
    <row r="20" spans="6:8">
      <c r="F20" s="3"/>
      <c r="G20" s="3"/>
      <c r="H20" s="3"/>
    </row>
    <row r="21" spans="6:8">
      <c r="F21" s="3"/>
      <c r="G21" s="3"/>
      <c r="H21" s="3"/>
    </row>
    <row r="22" spans="6:8">
      <c r="F22" s="3"/>
      <c r="G22" s="3"/>
      <c r="H22" s="3"/>
    </row>
  </sheetData>
  <phoneticPr fontId="5" type="noConversion"/>
  <dataValidations count="1">
    <dataValidation type="whole" allowBlank="1" showInputMessage="1" showErrorMessage="1" sqref="C2:D1048576" xr:uid="{D65C320F-5A97-4F6D-A328-0E8728107CF2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3519FD-7374-46D5-A9DD-15A30427D7D2}">
          <x14:formula1>
            <xm:f>_xlfn.ANCHORARRAY(Listas!$A$2)</xm:f>
          </x14:formula1>
          <xm:sqref>A2:A1048576</xm:sqref>
        </x14:dataValidation>
        <x14:dataValidation type="list" allowBlank="1" showInputMessage="1" showErrorMessage="1" xr:uid="{09D7FA01-AE71-46CF-9E88-4AC9D367DF67}">
          <x14:formula1>
            <xm:f>_xlfn.ANCHORARRAY(Listas!$B$2)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B456-386F-4A3D-86BE-D78972800BFC}">
  <dimension ref="A1:I241"/>
  <sheetViews>
    <sheetView zoomScale="70" zoomScaleNormal="70" workbookViewId="0">
      <selection activeCell="L27" sqref="L27"/>
    </sheetView>
  </sheetViews>
  <sheetFormatPr defaultRowHeight="15.6"/>
  <cols>
    <col min="1" max="1" width="15" bestFit="1" customWidth="1"/>
    <col min="2" max="2" width="19" bestFit="1" customWidth="1"/>
    <col min="3" max="3" width="10" bestFit="1" customWidth="1"/>
    <col min="4" max="4" width="9.796875" bestFit="1" customWidth="1"/>
    <col min="5" max="5" width="10.09765625" bestFit="1" customWidth="1"/>
    <col min="6" max="6" width="12" bestFit="1" customWidth="1"/>
    <col min="7" max="7" width="11.09765625" bestFit="1" customWidth="1"/>
    <col min="8" max="8" width="12.09765625" bestFit="1" customWidth="1"/>
    <col min="9" max="9" width="14" bestFit="1" customWidth="1"/>
  </cols>
  <sheetData>
    <row r="1" spans="1:9">
      <c r="A1" t="s">
        <v>54</v>
      </c>
      <c r="B1" t="s">
        <v>1</v>
      </c>
      <c r="C1" t="s">
        <v>39</v>
      </c>
      <c r="D1" t="s">
        <v>37</v>
      </c>
      <c r="E1" t="s">
        <v>38</v>
      </c>
      <c r="F1" t="s">
        <v>52</v>
      </c>
      <c r="G1" t="s">
        <v>41</v>
      </c>
      <c r="H1" t="s">
        <v>42</v>
      </c>
      <c r="I1" t="s">
        <v>44</v>
      </c>
    </row>
    <row r="2" spans="1:9">
      <c r="A2" t="s">
        <v>43</v>
      </c>
      <c r="B2" t="s">
        <v>11</v>
      </c>
      <c r="C2" t="s">
        <v>8</v>
      </c>
      <c r="D2">
        <v>1</v>
      </c>
      <c r="E2">
        <v>100</v>
      </c>
      <c r="F2" s="3">
        <v>255</v>
      </c>
      <c r="G2" s="3">
        <v>0.35</v>
      </c>
      <c r="H2" s="3">
        <v>2.2999999999999998</v>
      </c>
      <c r="I2" s="3">
        <v>1.05</v>
      </c>
    </row>
    <row r="3" spans="1:9">
      <c r="A3" t="s">
        <v>43</v>
      </c>
      <c r="B3" t="s">
        <v>9</v>
      </c>
      <c r="C3" t="s">
        <v>8</v>
      </c>
      <c r="D3">
        <v>1</v>
      </c>
      <c r="E3">
        <v>100</v>
      </c>
      <c r="F3" s="3">
        <v>255</v>
      </c>
      <c r="G3" s="3">
        <v>0.5</v>
      </c>
      <c r="H3" s="3">
        <v>2</v>
      </c>
      <c r="I3" s="3">
        <v>0.8</v>
      </c>
    </row>
    <row r="4" spans="1:9">
      <c r="A4" t="s">
        <v>43</v>
      </c>
      <c r="B4" t="s">
        <v>17</v>
      </c>
      <c r="C4" t="s">
        <v>8</v>
      </c>
      <c r="D4">
        <v>1</v>
      </c>
      <c r="E4">
        <v>100</v>
      </c>
      <c r="F4" s="3">
        <v>255</v>
      </c>
      <c r="G4" s="3">
        <v>0.5</v>
      </c>
      <c r="H4" s="3">
        <v>2.7</v>
      </c>
      <c r="I4" s="3">
        <v>1.4</v>
      </c>
    </row>
    <row r="5" spans="1:9">
      <c r="A5" t="s">
        <v>43</v>
      </c>
      <c r="B5" t="s">
        <v>5</v>
      </c>
      <c r="C5" t="s">
        <v>8</v>
      </c>
      <c r="D5">
        <v>1</v>
      </c>
      <c r="E5">
        <v>100</v>
      </c>
      <c r="F5" s="3">
        <v>255</v>
      </c>
      <c r="G5" s="3">
        <v>0.6</v>
      </c>
      <c r="H5" s="3">
        <v>1.9</v>
      </c>
      <c r="I5" s="3">
        <v>0.7</v>
      </c>
    </row>
    <row r="6" spans="1:9">
      <c r="A6" t="s">
        <v>43</v>
      </c>
      <c r="B6" t="s">
        <v>16</v>
      </c>
      <c r="C6" t="s">
        <v>8</v>
      </c>
      <c r="D6">
        <v>1</v>
      </c>
      <c r="E6">
        <v>100</v>
      </c>
      <c r="F6" s="3">
        <v>255</v>
      </c>
      <c r="G6" s="3">
        <v>0.5</v>
      </c>
      <c r="H6" s="3">
        <v>1.5</v>
      </c>
      <c r="I6" s="3">
        <v>0.7</v>
      </c>
    </row>
    <row r="7" spans="1:9">
      <c r="A7" t="s">
        <v>35</v>
      </c>
      <c r="B7" t="s">
        <v>15</v>
      </c>
      <c r="C7" t="s">
        <v>8</v>
      </c>
      <c r="D7">
        <v>1</v>
      </c>
      <c r="E7">
        <v>100</v>
      </c>
      <c r="F7" s="3">
        <v>255</v>
      </c>
      <c r="G7" s="3">
        <v>0.65</v>
      </c>
      <c r="H7" s="3">
        <v>2</v>
      </c>
      <c r="I7" s="3">
        <v>0.75</v>
      </c>
    </row>
    <row r="8" spans="1:9">
      <c r="A8" t="s">
        <v>35</v>
      </c>
      <c r="B8" t="s">
        <v>7</v>
      </c>
      <c r="C8" t="s">
        <v>8</v>
      </c>
      <c r="D8">
        <v>1</v>
      </c>
      <c r="E8">
        <v>100</v>
      </c>
      <c r="F8" s="3">
        <v>255</v>
      </c>
      <c r="G8" s="3">
        <v>0.65</v>
      </c>
      <c r="H8" s="3">
        <v>1.5</v>
      </c>
      <c r="I8" s="3">
        <v>0.75</v>
      </c>
    </row>
    <row r="9" spans="1:9">
      <c r="A9" t="s">
        <v>34</v>
      </c>
      <c r="B9" t="s">
        <v>13</v>
      </c>
      <c r="C9" t="s">
        <v>8</v>
      </c>
      <c r="D9">
        <v>1</v>
      </c>
      <c r="E9">
        <v>100</v>
      </c>
      <c r="F9" s="3">
        <v>255</v>
      </c>
      <c r="G9" s="3">
        <v>0.65</v>
      </c>
      <c r="H9" s="3">
        <v>2.2000000000000002</v>
      </c>
      <c r="I9" s="3">
        <v>0.9</v>
      </c>
    </row>
    <row r="10" spans="1:9">
      <c r="A10" t="s">
        <v>34</v>
      </c>
      <c r="B10" t="s">
        <v>14</v>
      </c>
      <c r="C10" t="s">
        <v>8</v>
      </c>
      <c r="D10">
        <v>1</v>
      </c>
      <c r="E10">
        <v>100</v>
      </c>
      <c r="F10" s="3">
        <v>255</v>
      </c>
      <c r="G10" s="3">
        <v>0.5</v>
      </c>
      <c r="H10" s="3">
        <v>1.3</v>
      </c>
      <c r="I10" s="3">
        <v>0.6</v>
      </c>
    </row>
    <row r="11" spans="1:9">
      <c r="A11" t="s">
        <v>30</v>
      </c>
      <c r="B11" t="s">
        <v>48</v>
      </c>
      <c r="C11" t="s">
        <v>8</v>
      </c>
      <c r="D11">
        <v>1</v>
      </c>
      <c r="E11">
        <v>100</v>
      </c>
      <c r="F11" s="3">
        <v>255</v>
      </c>
      <c r="G11" s="3">
        <v>0.55000000000000004</v>
      </c>
      <c r="H11" s="3">
        <v>1.95</v>
      </c>
      <c r="I11" s="3">
        <v>0.7</v>
      </c>
    </row>
    <row r="12" spans="1:9">
      <c r="A12" t="s">
        <v>47</v>
      </c>
      <c r="B12" t="s">
        <v>49</v>
      </c>
      <c r="C12" t="s">
        <v>8</v>
      </c>
      <c r="D12">
        <v>1</v>
      </c>
      <c r="E12">
        <v>100</v>
      </c>
      <c r="F12" s="3">
        <v>255</v>
      </c>
      <c r="G12" s="3">
        <v>0.4</v>
      </c>
      <c r="H12" s="3">
        <v>1</v>
      </c>
      <c r="I12" s="3">
        <v>0.5</v>
      </c>
    </row>
    <row r="13" spans="1:9">
      <c r="A13" t="s">
        <v>47</v>
      </c>
      <c r="B13" t="s">
        <v>50</v>
      </c>
      <c r="C13" t="s">
        <v>8</v>
      </c>
      <c r="D13">
        <v>1</v>
      </c>
      <c r="E13">
        <v>100</v>
      </c>
      <c r="F13" s="3">
        <v>255</v>
      </c>
      <c r="G13" s="3">
        <v>0.25</v>
      </c>
      <c r="H13" s="3">
        <v>0.8</v>
      </c>
      <c r="I13" s="3">
        <v>0.5</v>
      </c>
    </row>
    <row r="14" spans="1:9">
      <c r="A14" t="s">
        <v>43</v>
      </c>
      <c r="B14" t="s">
        <v>11</v>
      </c>
      <c r="C14" t="s">
        <v>12</v>
      </c>
      <c r="D14">
        <v>1</v>
      </c>
      <c r="E14">
        <v>100</v>
      </c>
      <c r="F14" s="3">
        <v>320</v>
      </c>
      <c r="G14" s="3">
        <v>0.35</v>
      </c>
      <c r="H14" s="3">
        <v>2.2999999999999998</v>
      </c>
      <c r="I14" s="3">
        <v>1.05</v>
      </c>
    </row>
    <row r="15" spans="1:9">
      <c r="A15" t="s">
        <v>43</v>
      </c>
      <c r="B15" t="s">
        <v>9</v>
      </c>
      <c r="C15" t="s">
        <v>12</v>
      </c>
      <c r="D15">
        <v>1</v>
      </c>
      <c r="E15">
        <v>100</v>
      </c>
      <c r="F15" s="3">
        <v>320</v>
      </c>
      <c r="G15" s="3">
        <v>0.5</v>
      </c>
      <c r="H15" s="3">
        <v>2</v>
      </c>
      <c r="I15" s="3">
        <v>0.8</v>
      </c>
    </row>
    <row r="16" spans="1:9">
      <c r="A16" t="s">
        <v>43</v>
      </c>
      <c r="B16" t="s">
        <v>17</v>
      </c>
      <c r="C16" t="s">
        <v>12</v>
      </c>
      <c r="D16">
        <v>1</v>
      </c>
      <c r="E16">
        <v>100</v>
      </c>
      <c r="F16" s="3">
        <v>320</v>
      </c>
      <c r="G16" s="3">
        <v>0.5</v>
      </c>
      <c r="H16" s="3">
        <v>2.7</v>
      </c>
      <c r="I16" s="3">
        <v>1.4</v>
      </c>
    </row>
    <row r="17" spans="1:9">
      <c r="A17" t="s">
        <v>43</v>
      </c>
      <c r="B17" t="s">
        <v>5</v>
      </c>
      <c r="C17" t="s">
        <v>12</v>
      </c>
      <c r="D17">
        <v>1</v>
      </c>
      <c r="E17">
        <v>100</v>
      </c>
      <c r="F17" s="3">
        <v>320</v>
      </c>
      <c r="G17" s="3">
        <v>0.6</v>
      </c>
      <c r="H17" s="3">
        <v>1.9</v>
      </c>
      <c r="I17" s="3">
        <v>0.7</v>
      </c>
    </row>
    <row r="18" spans="1:9">
      <c r="A18" t="s">
        <v>43</v>
      </c>
      <c r="B18" t="s">
        <v>16</v>
      </c>
      <c r="C18" t="s">
        <v>12</v>
      </c>
      <c r="D18">
        <v>1</v>
      </c>
      <c r="E18">
        <v>100</v>
      </c>
      <c r="F18" s="3">
        <v>320</v>
      </c>
      <c r="G18" s="3">
        <v>0.5</v>
      </c>
      <c r="H18" s="3">
        <v>1.5</v>
      </c>
      <c r="I18" s="3">
        <v>0.7</v>
      </c>
    </row>
    <row r="19" spans="1:9">
      <c r="A19" t="s">
        <v>35</v>
      </c>
      <c r="B19" t="s">
        <v>15</v>
      </c>
      <c r="C19" t="s">
        <v>12</v>
      </c>
      <c r="D19">
        <v>1</v>
      </c>
      <c r="E19">
        <v>100</v>
      </c>
      <c r="F19" s="3">
        <v>320</v>
      </c>
      <c r="G19" s="3">
        <v>0.65</v>
      </c>
      <c r="H19" s="3">
        <v>2</v>
      </c>
      <c r="I19" s="3">
        <v>0.75</v>
      </c>
    </row>
    <row r="20" spans="1:9">
      <c r="A20" t="s">
        <v>35</v>
      </c>
      <c r="B20" t="s">
        <v>7</v>
      </c>
      <c r="C20" t="s">
        <v>12</v>
      </c>
      <c r="D20">
        <v>1</v>
      </c>
      <c r="E20">
        <v>100</v>
      </c>
      <c r="F20" s="3">
        <v>320</v>
      </c>
      <c r="G20" s="3">
        <v>0.65</v>
      </c>
      <c r="H20" s="3">
        <v>1.5</v>
      </c>
      <c r="I20" s="3">
        <v>0.75</v>
      </c>
    </row>
    <row r="21" spans="1:9">
      <c r="A21" t="s">
        <v>34</v>
      </c>
      <c r="B21" t="s">
        <v>13</v>
      </c>
      <c r="C21" t="s">
        <v>12</v>
      </c>
      <c r="D21">
        <v>1</v>
      </c>
      <c r="E21">
        <v>100</v>
      </c>
      <c r="F21" s="3">
        <v>320</v>
      </c>
      <c r="G21" s="3">
        <v>0.65</v>
      </c>
      <c r="H21" s="3">
        <v>2.2000000000000002</v>
      </c>
      <c r="I21" s="3">
        <v>0.9</v>
      </c>
    </row>
    <row r="22" spans="1:9">
      <c r="A22" t="s">
        <v>34</v>
      </c>
      <c r="B22" t="s">
        <v>14</v>
      </c>
      <c r="C22" t="s">
        <v>12</v>
      </c>
      <c r="D22">
        <v>1</v>
      </c>
      <c r="E22">
        <v>100</v>
      </c>
      <c r="F22" s="3">
        <v>320</v>
      </c>
      <c r="G22" s="3">
        <v>0.5</v>
      </c>
      <c r="H22" s="3">
        <v>1.3</v>
      </c>
      <c r="I22" s="3">
        <v>0.6</v>
      </c>
    </row>
    <row r="23" spans="1:9">
      <c r="A23" t="s">
        <v>30</v>
      </c>
      <c r="B23" t="s">
        <v>48</v>
      </c>
      <c r="C23" t="s">
        <v>12</v>
      </c>
      <c r="D23">
        <v>1</v>
      </c>
      <c r="E23">
        <v>100</v>
      </c>
      <c r="F23" s="3">
        <v>320</v>
      </c>
      <c r="G23" s="3">
        <v>0.55000000000000004</v>
      </c>
      <c r="H23" s="3">
        <v>1.95</v>
      </c>
      <c r="I23" s="3">
        <v>0.7</v>
      </c>
    </row>
    <row r="24" spans="1:9">
      <c r="A24" t="s">
        <v>47</v>
      </c>
      <c r="B24" t="s">
        <v>49</v>
      </c>
      <c r="C24" t="s">
        <v>12</v>
      </c>
      <c r="D24">
        <v>1</v>
      </c>
      <c r="E24">
        <v>100</v>
      </c>
      <c r="F24" s="3">
        <v>320</v>
      </c>
      <c r="G24" s="3">
        <v>0.4</v>
      </c>
      <c r="H24" s="3">
        <v>1</v>
      </c>
      <c r="I24" s="3">
        <v>0.5</v>
      </c>
    </row>
    <row r="25" spans="1:9">
      <c r="A25" t="s">
        <v>47</v>
      </c>
      <c r="B25" t="s">
        <v>50</v>
      </c>
      <c r="C25" t="s">
        <v>12</v>
      </c>
      <c r="D25">
        <v>1</v>
      </c>
      <c r="E25">
        <v>100</v>
      </c>
      <c r="F25" s="3">
        <v>320</v>
      </c>
      <c r="G25" s="3">
        <v>0.25</v>
      </c>
      <c r="H25" s="3">
        <v>0.8</v>
      </c>
      <c r="I25" s="3">
        <v>0.5</v>
      </c>
    </row>
    <row r="26" spans="1:9">
      <c r="A26" t="s">
        <v>43</v>
      </c>
      <c r="B26" t="s">
        <v>11</v>
      </c>
      <c r="C26" t="s">
        <v>6</v>
      </c>
      <c r="D26">
        <v>1</v>
      </c>
      <c r="E26">
        <v>100</v>
      </c>
      <c r="F26" s="3">
        <v>352</v>
      </c>
      <c r="G26" s="3">
        <v>0.35</v>
      </c>
      <c r="H26" s="3">
        <v>2.2999999999999998</v>
      </c>
      <c r="I26" s="3">
        <v>1.05</v>
      </c>
    </row>
    <row r="27" spans="1:9">
      <c r="A27" t="s">
        <v>43</v>
      </c>
      <c r="B27" t="s">
        <v>9</v>
      </c>
      <c r="C27" t="s">
        <v>6</v>
      </c>
      <c r="D27">
        <v>1</v>
      </c>
      <c r="E27">
        <v>100</v>
      </c>
      <c r="F27" s="3">
        <v>352</v>
      </c>
      <c r="G27" s="3">
        <v>0.5</v>
      </c>
      <c r="H27" s="3">
        <v>2</v>
      </c>
      <c r="I27" s="3">
        <v>0.8</v>
      </c>
    </row>
    <row r="28" spans="1:9">
      <c r="A28" t="s">
        <v>43</v>
      </c>
      <c r="B28" t="s">
        <v>17</v>
      </c>
      <c r="C28" t="s">
        <v>6</v>
      </c>
      <c r="D28">
        <v>1</v>
      </c>
      <c r="E28">
        <v>100</v>
      </c>
      <c r="F28" s="3">
        <v>352</v>
      </c>
      <c r="G28" s="3">
        <v>0.5</v>
      </c>
      <c r="H28" s="3">
        <v>2.7</v>
      </c>
      <c r="I28" s="3">
        <v>1.4</v>
      </c>
    </row>
    <row r="29" spans="1:9">
      <c r="A29" t="s">
        <v>43</v>
      </c>
      <c r="B29" t="s">
        <v>5</v>
      </c>
      <c r="C29" t="s">
        <v>6</v>
      </c>
      <c r="D29">
        <v>1</v>
      </c>
      <c r="E29">
        <v>100</v>
      </c>
      <c r="F29" s="3">
        <v>352</v>
      </c>
      <c r="G29" s="3">
        <v>0.6</v>
      </c>
      <c r="H29" s="3">
        <v>1.9</v>
      </c>
      <c r="I29" s="3">
        <v>0.7</v>
      </c>
    </row>
    <row r="30" spans="1:9">
      <c r="A30" t="s">
        <v>43</v>
      </c>
      <c r="B30" t="s">
        <v>16</v>
      </c>
      <c r="C30" t="s">
        <v>6</v>
      </c>
      <c r="D30">
        <v>1</v>
      </c>
      <c r="E30">
        <v>100</v>
      </c>
      <c r="F30" s="3">
        <v>352</v>
      </c>
      <c r="G30" s="3">
        <v>0.5</v>
      </c>
      <c r="H30" s="3">
        <v>1.5</v>
      </c>
      <c r="I30" s="3">
        <v>0.7</v>
      </c>
    </row>
    <row r="31" spans="1:9">
      <c r="A31" t="s">
        <v>35</v>
      </c>
      <c r="B31" t="s">
        <v>15</v>
      </c>
      <c r="C31" t="s">
        <v>6</v>
      </c>
      <c r="D31">
        <v>1</v>
      </c>
      <c r="E31">
        <v>100</v>
      </c>
      <c r="F31" s="3">
        <v>352</v>
      </c>
      <c r="G31" s="3">
        <v>0.65</v>
      </c>
      <c r="H31" s="3">
        <v>2</v>
      </c>
      <c r="I31" s="3">
        <v>0.75</v>
      </c>
    </row>
    <row r="32" spans="1:9">
      <c r="A32" t="s">
        <v>35</v>
      </c>
      <c r="B32" t="s">
        <v>7</v>
      </c>
      <c r="C32" t="s">
        <v>6</v>
      </c>
      <c r="D32">
        <v>1</v>
      </c>
      <c r="E32">
        <v>100</v>
      </c>
      <c r="F32" s="3">
        <v>352</v>
      </c>
      <c r="G32" s="3">
        <v>0.65</v>
      </c>
      <c r="H32" s="3">
        <v>1.5</v>
      </c>
      <c r="I32" s="3">
        <v>0.75</v>
      </c>
    </row>
    <row r="33" spans="1:9">
      <c r="A33" t="s">
        <v>34</v>
      </c>
      <c r="B33" t="s">
        <v>13</v>
      </c>
      <c r="C33" t="s">
        <v>6</v>
      </c>
      <c r="D33">
        <v>1</v>
      </c>
      <c r="E33">
        <v>100</v>
      </c>
      <c r="F33" s="3">
        <v>352</v>
      </c>
      <c r="G33" s="3">
        <v>0.65</v>
      </c>
      <c r="H33" s="3">
        <v>2.2000000000000002</v>
      </c>
      <c r="I33" s="3">
        <v>0.9</v>
      </c>
    </row>
    <row r="34" spans="1:9">
      <c r="A34" t="s">
        <v>34</v>
      </c>
      <c r="B34" t="s">
        <v>14</v>
      </c>
      <c r="C34" t="s">
        <v>6</v>
      </c>
      <c r="D34">
        <v>1</v>
      </c>
      <c r="E34">
        <v>100</v>
      </c>
      <c r="F34" s="3">
        <v>352</v>
      </c>
      <c r="G34" s="3">
        <v>0.5</v>
      </c>
      <c r="H34" s="3">
        <v>1.3</v>
      </c>
      <c r="I34" s="3">
        <v>0.6</v>
      </c>
    </row>
    <row r="35" spans="1:9">
      <c r="A35" t="s">
        <v>30</v>
      </c>
      <c r="B35" t="s">
        <v>48</v>
      </c>
      <c r="C35" t="s">
        <v>6</v>
      </c>
      <c r="D35">
        <v>1</v>
      </c>
      <c r="E35">
        <v>100</v>
      </c>
      <c r="F35" s="3">
        <v>352</v>
      </c>
      <c r="G35" s="3">
        <v>0.55000000000000004</v>
      </c>
      <c r="H35" s="3">
        <v>1.95</v>
      </c>
      <c r="I35" s="3">
        <v>0.7</v>
      </c>
    </row>
    <row r="36" spans="1:9">
      <c r="A36" t="s">
        <v>47</v>
      </c>
      <c r="B36" t="s">
        <v>49</v>
      </c>
      <c r="C36" t="s">
        <v>6</v>
      </c>
      <c r="D36">
        <v>1</v>
      </c>
      <c r="E36">
        <v>100</v>
      </c>
      <c r="F36" s="3">
        <v>352</v>
      </c>
      <c r="G36" s="3">
        <v>0.4</v>
      </c>
      <c r="H36" s="3">
        <v>1</v>
      </c>
      <c r="I36" s="3">
        <v>0.5</v>
      </c>
    </row>
    <row r="37" spans="1:9">
      <c r="A37" t="s">
        <v>47</v>
      </c>
      <c r="B37" t="s">
        <v>50</v>
      </c>
      <c r="C37" t="s">
        <v>6</v>
      </c>
      <c r="D37">
        <v>1</v>
      </c>
      <c r="E37">
        <v>100</v>
      </c>
      <c r="F37" s="3">
        <v>352</v>
      </c>
      <c r="G37" s="3">
        <v>0.25</v>
      </c>
      <c r="H37" s="3">
        <v>0.8</v>
      </c>
      <c r="I37" s="3">
        <v>0.5</v>
      </c>
    </row>
    <row r="38" spans="1:9">
      <c r="A38" t="s">
        <v>43</v>
      </c>
      <c r="B38" t="s">
        <v>11</v>
      </c>
      <c r="C38" t="s">
        <v>10</v>
      </c>
      <c r="D38">
        <v>1</v>
      </c>
      <c r="E38">
        <v>100</v>
      </c>
      <c r="F38" s="3">
        <v>405</v>
      </c>
      <c r="G38" s="3">
        <v>0.35</v>
      </c>
      <c r="H38" s="3">
        <v>2.2999999999999998</v>
      </c>
      <c r="I38" s="3">
        <v>1.05</v>
      </c>
    </row>
    <row r="39" spans="1:9">
      <c r="A39" t="s">
        <v>43</v>
      </c>
      <c r="B39" t="s">
        <v>9</v>
      </c>
      <c r="C39" t="s">
        <v>10</v>
      </c>
      <c r="D39">
        <v>1</v>
      </c>
      <c r="E39">
        <v>100</v>
      </c>
      <c r="F39" s="3">
        <v>405</v>
      </c>
      <c r="G39" s="3">
        <v>0.5</v>
      </c>
      <c r="H39" s="3">
        <v>2</v>
      </c>
      <c r="I39" s="3">
        <v>0.8</v>
      </c>
    </row>
    <row r="40" spans="1:9">
      <c r="A40" t="s">
        <v>43</v>
      </c>
      <c r="B40" t="s">
        <v>17</v>
      </c>
      <c r="C40" t="s">
        <v>10</v>
      </c>
      <c r="D40">
        <v>1</v>
      </c>
      <c r="E40">
        <v>100</v>
      </c>
      <c r="F40" s="3">
        <v>405</v>
      </c>
      <c r="G40" s="3">
        <v>0.5</v>
      </c>
      <c r="H40" s="3">
        <v>2.7</v>
      </c>
      <c r="I40" s="3">
        <v>1.4</v>
      </c>
    </row>
    <row r="41" spans="1:9">
      <c r="A41" t="s">
        <v>43</v>
      </c>
      <c r="B41" t="s">
        <v>5</v>
      </c>
      <c r="C41" t="s">
        <v>10</v>
      </c>
      <c r="D41">
        <v>1</v>
      </c>
      <c r="E41">
        <v>100</v>
      </c>
      <c r="F41" s="3">
        <v>405</v>
      </c>
      <c r="G41" s="3">
        <v>0.6</v>
      </c>
      <c r="H41" s="3">
        <v>1.9</v>
      </c>
      <c r="I41" s="3">
        <v>0.7</v>
      </c>
    </row>
    <row r="42" spans="1:9">
      <c r="A42" t="s">
        <v>43</v>
      </c>
      <c r="B42" t="s">
        <v>16</v>
      </c>
      <c r="C42" t="s">
        <v>10</v>
      </c>
      <c r="D42">
        <v>1</v>
      </c>
      <c r="E42">
        <v>100</v>
      </c>
      <c r="F42" s="3">
        <v>405</v>
      </c>
      <c r="G42" s="3">
        <v>0.5</v>
      </c>
      <c r="H42" s="3">
        <v>1.5</v>
      </c>
      <c r="I42" s="3">
        <v>0.7</v>
      </c>
    </row>
    <row r="43" spans="1:9">
      <c r="A43" t="s">
        <v>35</v>
      </c>
      <c r="B43" t="s">
        <v>15</v>
      </c>
      <c r="C43" t="s">
        <v>10</v>
      </c>
      <c r="D43">
        <v>1</v>
      </c>
      <c r="E43">
        <v>100</v>
      </c>
      <c r="F43" s="3">
        <v>405</v>
      </c>
      <c r="G43" s="3">
        <v>0.65</v>
      </c>
      <c r="H43" s="3">
        <v>2</v>
      </c>
      <c r="I43" s="3">
        <v>0.75</v>
      </c>
    </row>
    <row r="44" spans="1:9">
      <c r="A44" t="s">
        <v>35</v>
      </c>
      <c r="B44" t="s">
        <v>7</v>
      </c>
      <c r="C44" t="s">
        <v>10</v>
      </c>
      <c r="D44">
        <v>1</v>
      </c>
      <c r="E44">
        <v>100</v>
      </c>
      <c r="F44" s="3">
        <v>405</v>
      </c>
      <c r="G44" s="3">
        <v>0.65</v>
      </c>
      <c r="H44" s="3">
        <v>1.5</v>
      </c>
      <c r="I44" s="3">
        <v>0.75</v>
      </c>
    </row>
    <row r="45" spans="1:9">
      <c r="A45" t="s">
        <v>34</v>
      </c>
      <c r="B45" t="s">
        <v>13</v>
      </c>
      <c r="C45" t="s">
        <v>10</v>
      </c>
      <c r="D45">
        <v>1</v>
      </c>
      <c r="E45">
        <v>100</v>
      </c>
      <c r="F45" s="3">
        <v>405</v>
      </c>
      <c r="G45" s="3">
        <v>0.65</v>
      </c>
      <c r="H45" s="3">
        <v>2.2000000000000002</v>
      </c>
      <c r="I45" s="3">
        <v>0.9</v>
      </c>
    </row>
    <row r="46" spans="1:9">
      <c r="A46" t="s">
        <v>34</v>
      </c>
      <c r="B46" t="s">
        <v>14</v>
      </c>
      <c r="C46" t="s">
        <v>10</v>
      </c>
      <c r="D46">
        <v>1</v>
      </c>
      <c r="E46">
        <v>100</v>
      </c>
      <c r="F46" s="3">
        <v>405</v>
      </c>
      <c r="G46" s="3">
        <v>0.5</v>
      </c>
      <c r="H46" s="3">
        <v>1.3</v>
      </c>
      <c r="I46" s="3">
        <v>0.6</v>
      </c>
    </row>
    <row r="47" spans="1:9">
      <c r="A47" t="s">
        <v>30</v>
      </c>
      <c r="B47" t="s">
        <v>48</v>
      </c>
      <c r="C47" t="s">
        <v>10</v>
      </c>
      <c r="D47">
        <v>1</v>
      </c>
      <c r="E47">
        <v>100</v>
      </c>
      <c r="F47" s="3">
        <v>405</v>
      </c>
      <c r="G47" s="3">
        <v>0.55000000000000004</v>
      </c>
      <c r="H47" s="3">
        <v>1.95</v>
      </c>
      <c r="I47" s="3">
        <v>0.7</v>
      </c>
    </row>
    <row r="48" spans="1:9">
      <c r="A48" t="s">
        <v>47</v>
      </c>
      <c r="B48" t="s">
        <v>49</v>
      </c>
      <c r="C48" t="s">
        <v>10</v>
      </c>
      <c r="D48">
        <v>1</v>
      </c>
      <c r="E48">
        <v>100</v>
      </c>
      <c r="F48" s="3">
        <v>405</v>
      </c>
      <c r="G48" s="3">
        <v>0.4</v>
      </c>
      <c r="H48" s="3">
        <v>1</v>
      </c>
      <c r="I48" s="3">
        <v>0.5</v>
      </c>
    </row>
    <row r="49" spans="1:9">
      <c r="A49" t="s">
        <v>47</v>
      </c>
      <c r="B49" t="s">
        <v>50</v>
      </c>
      <c r="C49" t="s">
        <v>10</v>
      </c>
      <c r="D49">
        <v>1</v>
      </c>
      <c r="E49">
        <v>100</v>
      </c>
      <c r="F49" s="3">
        <v>405</v>
      </c>
      <c r="G49" s="3">
        <v>0.25</v>
      </c>
      <c r="H49" s="3">
        <v>0.8</v>
      </c>
      <c r="I49" s="3">
        <v>0.5</v>
      </c>
    </row>
    <row r="50" spans="1:9">
      <c r="A50" t="s">
        <v>43</v>
      </c>
      <c r="B50" t="s">
        <v>11</v>
      </c>
      <c r="C50" t="s">
        <v>8</v>
      </c>
      <c r="D50">
        <v>101</v>
      </c>
      <c r="E50">
        <v>150</v>
      </c>
      <c r="F50" s="3">
        <v>295</v>
      </c>
      <c r="G50" s="3">
        <v>0.35</v>
      </c>
      <c r="H50" s="3">
        <v>2.2999999999999998</v>
      </c>
      <c r="I50" s="3">
        <v>1.05</v>
      </c>
    </row>
    <row r="51" spans="1:9">
      <c r="A51" t="s">
        <v>43</v>
      </c>
      <c r="B51" t="s">
        <v>9</v>
      </c>
      <c r="C51" t="s">
        <v>8</v>
      </c>
      <c r="D51">
        <v>101</v>
      </c>
      <c r="E51">
        <v>150</v>
      </c>
      <c r="F51" s="3">
        <v>295</v>
      </c>
      <c r="G51" s="3">
        <v>0.5</v>
      </c>
      <c r="H51" s="3">
        <v>2</v>
      </c>
      <c r="I51" s="3">
        <v>0.8</v>
      </c>
    </row>
    <row r="52" spans="1:9">
      <c r="A52" t="s">
        <v>43</v>
      </c>
      <c r="B52" t="s">
        <v>17</v>
      </c>
      <c r="C52" t="s">
        <v>8</v>
      </c>
      <c r="D52">
        <v>101</v>
      </c>
      <c r="E52">
        <v>150</v>
      </c>
      <c r="F52" s="3">
        <v>295</v>
      </c>
      <c r="G52" s="3">
        <v>0.5</v>
      </c>
      <c r="H52" s="3">
        <v>2.7</v>
      </c>
      <c r="I52" s="3">
        <v>1.4</v>
      </c>
    </row>
    <row r="53" spans="1:9">
      <c r="A53" t="s">
        <v>43</v>
      </c>
      <c r="B53" t="s">
        <v>5</v>
      </c>
      <c r="C53" t="s">
        <v>8</v>
      </c>
      <c r="D53">
        <v>101</v>
      </c>
      <c r="E53">
        <v>150</v>
      </c>
      <c r="F53" s="3">
        <v>295</v>
      </c>
      <c r="G53" s="3">
        <v>0.6</v>
      </c>
      <c r="H53" s="3">
        <v>1.9</v>
      </c>
      <c r="I53" s="3">
        <v>0.7</v>
      </c>
    </row>
    <row r="54" spans="1:9">
      <c r="A54" t="s">
        <v>43</v>
      </c>
      <c r="B54" t="s">
        <v>16</v>
      </c>
      <c r="C54" t="s">
        <v>8</v>
      </c>
      <c r="D54">
        <v>101</v>
      </c>
      <c r="E54">
        <v>150</v>
      </c>
      <c r="F54" s="3">
        <v>295</v>
      </c>
      <c r="G54" s="3">
        <v>0.5</v>
      </c>
      <c r="H54" s="3">
        <v>1.5</v>
      </c>
      <c r="I54" s="3">
        <v>0.7</v>
      </c>
    </row>
    <row r="55" spans="1:9">
      <c r="A55" t="s">
        <v>35</v>
      </c>
      <c r="B55" t="s">
        <v>15</v>
      </c>
      <c r="C55" t="s">
        <v>8</v>
      </c>
      <c r="D55">
        <v>101</v>
      </c>
      <c r="E55">
        <v>150</v>
      </c>
      <c r="F55" s="3">
        <v>295</v>
      </c>
      <c r="G55" s="3">
        <v>0.65</v>
      </c>
      <c r="H55" s="3">
        <v>2</v>
      </c>
      <c r="I55" s="3">
        <v>0.75</v>
      </c>
    </row>
    <row r="56" spans="1:9">
      <c r="A56" t="s">
        <v>35</v>
      </c>
      <c r="B56" t="s">
        <v>7</v>
      </c>
      <c r="C56" t="s">
        <v>8</v>
      </c>
      <c r="D56">
        <v>101</v>
      </c>
      <c r="E56">
        <v>150</v>
      </c>
      <c r="F56" s="3">
        <v>295</v>
      </c>
      <c r="G56" s="3">
        <v>0.65</v>
      </c>
      <c r="H56" s="3">
        <v>1.5</v>
      </c>
      <c r="I56" s="3">
        <v>0.75</v>
      </c>
    </row>
    <row r="57" spans="1:9">
      <c r="A57" t="s">
        <v>34</v>
      </c>
      <c r="B57" t="s">
        <v>13</v>
      </c>
      <c r="C57" t="s">
        <v>8</v>
      </c>
      <c r="D57">
        <v>101</v>
      </c>
      <c r="E57">
        <v>150</v>
      </c>
      <c r="F57" s="3">
        <v>295</v>
      </c>
      <c r="G57" s="3">
        <v>0.65</v>
      </c>
      <c r="H57" s="3">
        <v>2.2000000000000002</v>
      </c>
      <c r="I57" s="3">
        <v>0.9</v>
      </c>
    </row>
    <row r="58" spans="1:9">
      <c r="A58" t="s">
        <v>34</v>
      </c>
      <c r="B58" t="s">
        <v>14</v>
      </c>
      <c r="C58" t="s">
        <v>8</v>
      </c>
      <c r="D58">
        <v>101</v>
      </c>
      <c r="E58">
        <v>150</v>
      </c>
      <c r="F58" s="3">
        <v>295</v>
      </c>
      <c r="G58" s="3">
        <v>0.5</v>
      </c>
      <c r="H58" s="3">
        <v>1.3</v>
      </c>
      <c r="I58" s="3">
        <v>0.6</v>
      </c>
    </row>
    <row r="59" spans="1:9">
      <c r="A59" t="s">
        <v>30</v>
      </c>
      <c r="B59" t="s">
        <v>48</v>
      </c>
      <c r="C59" t="s">
        <v>8</v>
      </c>
      <c r="D59">
        <v>101</v>
      </c>
      <c r="E59">
        <v>150</v>
      </c>
      <c r="F59" s="3">
        <v>295</v>
      </c>
      <c r="G59" s="3">
        <v>0.55000000000000004</v>
      </c>
      <c r="H59" s="3">
        <v>1.95</v>
      </c>
      <c r="I59" s="3">
        <v>0.7</v>
      </c>
    </row>
    <row r="60" spans="1:9">
      <c r="A60" t="s">
        <v>47</v>
      </c>
      <c r="B60" t="s">
        <v>49</v>
      </c>
      <c r="C60" t="s">
        <v>8</v>
      </c>
      <c r="D60">
        <v>101</v>
      </c>
      <c r="E60">
        <v>150</v>
      </c>
      <c r="F60" s="3">
        <v>295</v>
      </c>
      <c r="G60" s="3">
        <v>0.4</v>
      </c>
      <c r="H60" s="3">
        <v>1</v>
      </c>
      <c r="I60" s="3">
        <v>0.5</v>
      </c>
    </row>
    <row r="61" spans="1:9">
      <c r="A61" t="s">
        <v>47</v>
      </c>
      <c r="B61" t="s">
        <v>50</v>
      </c>
      <c r="C61" t="s">
        <v>8</v>
      </c>
      <c r="D61">
        <v>101</v>
      </c>
      <c r="E61">
        <v>150</v>
      </c>
      <c r="F61" s="3">
        <v>295</v>
      </c>
      <c r="G61" s="3">
        <v>0.25</v>
      </c>
      <c r="H61" s="3">
        <v>0.8</v>
      </c>
      <c r="I61" s="3">
        <v>0.5</v>
      </c>
    </row>
    <row r="62" spans="1:9">
      <c r="A62" t="s">
        <v>43</v>
      </c>
      <c r="B62" t="s">
        <v>11</v>
      </c>
      <c r="C62" t="s">
        <v>12</v>
      </c>
      <c r="D62">
        <v>101</v>
      </c>
      <c r="E62">
        <v>150</v>
      </c>
      <c r="F62" s="3">
        <v>368</v>
      </c>
      <c r="G62" s="3">
        <v>0.35</v>
      </c>
      <c r="H62" s="3">
        <v>2.2999999999999998</v>
      </c>
      <c r="I62" s="3">
        <v>1.05</v>
      </c>
    </row>
    <row r="63" spans="1:9">
      <c r="A63" t="s">
        <v>43</v>
      </c>
      <c r="B63" t="s">
        <v>9</v>
      </c>
      <c r="C63" t="s">
        <v>12</v>
      </c>
      <c r="D63">
        <v>101</v>
      </c>
      <c r="E63">
        <v>150</v>
      </c>
      <c r="F63" s="3">
        <v>368</v>
      </c>
      <c r="G63" s="3">
        <v>0.5</v>
      </c>
      <c r="H63" s="3">
        <v>2</v>
      </c>
      <c r="I63" s="3">
        <v>0.8</v>
      </c>
    </row>
    <row r="64" spans="1:9">
      <c r="A64" t="s">
        <v>43</v>
      </c>
      <c r="B64" t="s">
        <v>17</v>
      </c>
      <c r="C64" t="s">
        <v>12</v>
      </c>
      <c r="D64">
        <v>101</v>
      </c>
      <c r="E64">
        <v>150</v>
      </c>
      <c r="F64" s="3">
        <v>368</v>
      </c>
      <c r="G64" s="3">
        <v>0.5</v>
      </c>
      <c r="H64" s="3">
        <v>2.7</v>
      </c>
      <c r="I64" s="3">
        <v>1.4</v>
      </c>
    </row>
    <row r="65" spans="1:9">
      <c r="A65" t="s">
        <v>43</v>
      </c>
      <c r="B65" t="s">
        <v>5</v>
      </c>
      <c r="C65" t="s">
        <v>12</v>
      </c>
      <c r="D65">
        <v>101</v>
      </c>
      <c r="E65">
        <v>150</v>
      </c>
      <c r="F65" s="3">
        <v>368</v>
      </c>
      <c r="G65" s="3">
        <v>0.6</v>
      </c>
      <c r="H65" s="3">
        <v>1.9</v>
      </c>
      <c r="I65" s="3">
        <v>0.7</v>
      </c>
    </row>
    <row r="66" spans="1:9">
      <c r="A66" t="s">
        <v>43</v>
      </c>
      <c r="B66" t="s">
        <v>16</v>
      </c>
      <c r="C66" t="s">
        <v>12</v>
      </c>
      <c r="D66">
        <v>101</v>
      </c>
      <c r="E66">
        <v>150</v>
      </c>
      <c r="F66" s="3">
        <v>368</v>
      </c>
      <c r="G66" s="3">
        <v>0.5</v>
      </c>
      <c r="H66" s="3">
        <v>1.5</v>
      </c>
      <c r="I66" s="3">
        <v>0.7</v>
      </c>
    </row>
    <row r="67" spans="1:9">
      <c r="A67" t="s">
        <v>35</v>
      </c>
      <c r="B67" t="s">
        <v>15</v>
      </c>
      <c r="C67" t="s">
        <v>12</v>
      </c>
      <c r="D67">
        <v>101</v>
      </c>
      <c r="E67">
        <v>150</v>
      </c>
      <c r="F67" s="3">
        <v>368</v>
      </c>
      <c r="G67" s="3">
        <v>0.65</v>
      </c>
      <c r="H67" s="3">
        <v>2</v>
      </c>
      <c r="I67" s="3">
        <v>0.75</v>
      </c>
    </row>
    <row r="68" spans="1:9">
      <c r="A68" t="s">
        <v>35</v>
      </c>
      <c r="B68" t="s">
        <v>7</v>
      </c>
      <c r="C68" t="s">
        <v>12</v>
      </c>
      <c r="D68">
        <v>101</v>
      </c>
      <c r="E68">
        <v>150</v>
      </c>
      <c r="F68" s="3">
        <v>368</v>
      </c>
      <c r="G68" s="3">
        <v>0.65</v>
      </c>
      <c r="H68" s="3">
        <v>1.5</v>
      </c>
      <c r="I68" s="3">
        <v>0.75</v>
      </c>
    </row>
    <row r="69" spans="1:9">
      <c r="A69" t="s">
        <v>34</v>
      </c>
      <c r="B69" t="s">
        <v>13</v>
      </c>
      <c r="C69" t="s">
        <v>12</v>
      </c>
      <c r="D69">
        <v>101</v>
      </c>
      <c r="E69">
        <v>150</v>
      </c>
      <c r="F69" s="3">
        <v>368</v>
      </c>
      <c r="G69" s="3">
        <v>0.65</v>
      </c>
      <c r="H69" s="3">
        <v>2.2000000000000002</v>
      </c>
      <c r="I69" s="3">
        <v>0.9</v>
      </c>
    </row>
    <row r="70" spans="1:9">
      <c r="A70" t="s">
        <v>34</v>
      </c>
      <c r="B70" t="s">
        <v>14</v>
      </c>
      <c r="C70" t="s">
        <v>12</v>
      </c>
      <c r="D70">
        <v>101</v>
      </c>
      <c r="E70">
        <v>150</v>
      </c>
      <c r="F70" s="3">
        <v>368</v>
      </c>
      <c r="G70" s="3">
        <v>0.5</v>
      </c>
      <c r="H70" s="3">
        <v>1.3</v>
      </c>
      <c r="I70" s="3">
        <v>0.6</v>
      </c>
    </row>
    <row r="71" spans="1:9">
      <c r="A71" t="s">
        <v>30</v>
      </c>
      <c r="B71" t="s">
        <v>48</v>
      </c>
      <c r="C71" t="s">
        <v>12</v>
      </c>
      <c r="D71">
        <v>101</v>
      </c>
      <c r="E71">
        <v>150</v>
      </c>
      <c r="F71" s="3">
        <v>368</v>
      </c>
      <c r="G71" s="3">
        <v>0.55000000000000004</v>
      </c>
      <c r="H71" s="3">
        <v>1.95</v>
      </c>
      <c r="I71" s="3">
        <v>0.7</v>
      </c>
    </row>
    <row r="72" spans="1:9">
      <c r="A72" t="s">
        <v>47</v>
      </c>
      <c r="B72" t="s">
        <v>49</v>
      </c>
      <c r="C72" t="s">
        <v>12</v>
      </c>
      <c r="D72">
        <v>101</v>
      </c>
      <c r="E72">
        <v>150</v>
      </c>
      <c r="F72" s="3">
        <v>368</v>
      </c>
      <c r="G72" s="3">
        <v>0.4</v>
      </c>
      <c r="H72" s="3">
        <v>1</v>
      </c>
      <c r="I72" s="3">
        <v>0.5</v>
      </c>
    </row>
    <row r="73" spans="1:9">
      <c r="A73" t="s">
        <v>47</v>
      </c>
      <c r="B73" t="s">
        <v>50</v>
      </c>
      <c r="C73" t="s">
        <v>12</v>
      </c>
      <c r="D73">
        <v>101</v>
      </c>
      <c r="E73">
        <v>150</v>
      </c>
      <c r="F73" s="3">
        <v>368</v>
      </c>
      <c r="G73" s="3">
        <v>0.25</v>
      </c>
      <c r="H73" s="3">
        <v>0.8</v>
      </c>
      <c r="I73" s="3">
        <v>0.5</v>
      </c>
    </row>
    <row r="74" spans="1:9">
      <c r="A74" t="s">
        <v>43</v>
      </c>
      <c r="B74" t="s">
        <v>11</v>
      </c>
      <c r="C74" t="s">
        <v>6</v>
      </c>
      <c r="D74">
        <v>101</v>
      </c>
      <c r="E74">
        <v>150</v>
      </c>
      <c r="F74" s="3">
        <v>405</v>
      </c>
      <c r="G74" s="3">
        <v>0.35</v>
      </c>
      <c r="H74" s="3">
        <v>2.2999999999999998</v>
      </c>
      <c r="I74" s="3">
        <v>1.05</v>
      </c>
    </row>
    <row r="75" spans="1:9">
      <c r="A75" t="s">
        <v>43</v>
      </c>
      <c r="B75" t="s">
        <v>9</v>
      </c>
      <c r="C75" t="s">
        <v>6</v>
      </c>
      <c r="D75">
        <v>101</v>
      </c>
      <c r="E75">
        <v>150</v>
      </c>
      <c r="F75" s="3">
        <v>405</v>
      </c>
      <c r="G75" s="3">
        <v>0.5</v>
      </c>
      <c r="H75" s="3">
        <v>2</v>
      </c>
      <c r="I75" s="3">
        <v>0.8</v>
      </c>
    </row>
    <row r="76" spans="1:9">
      <c r="A76" t="s">
        <v>43</v>
      </c>
      <c r="B76" t="s">
        <v>17</v>
      </c>
      <c r="C76" t="s">
        <v>6</v>
      </c>
      <c r="D76">
        <v>101</v>
      </c>
      <c r="E76">
        <v>150</v>
      </c>
      <c r="F76" s="3">
        <v>405</v>
      </c>
      <c r="G76" s="3">
        <v>0.5</v>
      </c>
      <c r="H76" s="3">
        <v>2.7</v>
      </c>
      <c r="I76" s="3">
        <v>1.4</v>
      </c>
    </row>
    <row r="77" spans="1:9">
      <c r="A77" t="s">
        <v>43</v>
      </c>
      <c r="B77" t="s">
        <v>5</v>
      </c>
      <c r="C77" t="s">
        <v>6</v>
      </c>
      <c r="D77">
        <v>101</v>
      </c>
      <c r="E77">
        <v>150</v>
      </c>
      <c r="F77" s="3">
        <v>405</v>
      </c>
      <c r="G77" s="3">
        <v>0.6</v>
      </c>
      <c r="H77" s="3">
        <v>1.9</v>
      </c>
      <c r="I77" s="3">
        <v>0.7</v>
      </c>
    </row>
    <row r="78" spans="1:9">
      <c r="A78" t="s">
        <v>43</v>
      </c>
      <c r="B78" t="s">
        <v>16</v>
      </c>
      <c r="C78" t="s">
        <v>6</v>
      </c>
      <c r="D78">
        <v>101</v>
      </c>
      <c r="E78">
        <v>150</v>
      </c>
      <c r="F78" s="3">
        <v>405</v>
      </c>
      <c r="G78" s="3">
        <v>0.5</v>
      </c>
      <c r="H78" s="3">
        <v>1.5</v>
      </c>
      <c r="I78" s="3">
        <v>0.7</v>
      </c>
    </row>
    <row r="79" spans="1:9">
      <c r="A79" t="s">
        <v>35</v>
      </c>
      <c r="B79" t="s">
        <v>15</v>
      </c>
      <c r="C79" t="s">
        <v>6</v>
      </c>
      <c r="D79">
        <v>101</v>
      </c>
      <c r="E79">
        <v>150</v>
      </c>
      <c r="F79" s="3">
        <v>405</v>
      </c>
      <c r="G79" s="3">
        <v>0.65</v>
      </c>
      <c r="H79" s="3">
        <v>2</v>
      </c>
      <c r="I79" s="3">
        <v>0.75</v>
      </c>
    </row>
    <row r="80" spans="1:9">
      <c r="A80" t="s">
        <v>35</v>
      </c>
      <c r="B80" t="s">
        <v>7</v>
      </c>
      <c r="C80" t="s">
        <v>6</v>
      </c>
      <c r="D80">
        <v>101</v>
      </c>
      <c r="E80">
        <v>150</v>
      </c>
      <c r="F80" s="3">
        <v>405</v>
      </c>
      <c r="G80" s="3">
        <v>0.65</v>
      </c>
      <c r="H80" s="3">
        <v>1.5</v>
      </c>
      <c r="I80" s="3">
        <v>0.75</v>
      </c>
    </row>
    <row r="81" spans="1:9">
      <c r="A81" t="s">
        <v>34</v>
      </c>
      <c r="B81" t="s">
        <v>13</v>
      </c>
      <c r="C81" t="s">
        <v>6</v>
      </c>
      <c r="D81">
        <v>101</v>
      </c>
      <c r="E81">
        <v>150</v>
      </c>
      <c r="F81" s="3">
        <v>405</v>
      </c>
      <c r="G81" s="3">
        <v>0.65</v>
      </c>
      <c r="H81" s="3">
        <v>2.2000000000000002</v>
      </c>
      <c r="I81" s="3">
        <v>0.9</v>
      </c>
    </row>
    <row r="82" spans="1:9">
      <c r="A82" t="s">
        <v>34</v>
      </c>
      <c r="B82" t="s">
        <v>14</v>
      </c>
      <c r="C82" t="s">
        <v>6</v>
      </c>
      <c r="D82">
        <v>101</v>
      </c>
      <c r="E82">
        <v>150</v>
      </c>
      <c r="F82" s="3">
        <v>405</v>
      </c>
      <c r="G82" s="3">
        <v>0.5</v>
      </c>
      <c r="H82" s="3">
        <v>1.3</v>
      </c>
      <c r="I82" s="3">
        <v>0.6</v>
      </c>
    </row>
    <row r="83" spans="1:9">
      <c r="A83" t="s">
        <v>30</v>
      </c>
      <c r="B83" t="s">
        <v>48</v>
      </c>
      <c r="C83" t="s">
        <v>6</v>
      </c>
      <c r="D83">
        <v>101</v>
      </c>
      <c r="E83">
        <v>150</v>
      </c>
      <c r="F83" s="3">
        <v>405</v>
      </c>
      <c r="G83" s="3">
        <v>0.55000000000000004</v>
      </c>
      <c r="H83" s="3">
        <v>1.95</v>
      </c>
      <c r="I83" s="3">
        <v>0.7</v>
      </c>
    </row>
    <row r="84" spans="1:9">
      <c r="A84" t="s">
        <v>47</v>
      </c>
      <c r="B84" t="s">
        <v>49</v>
      </c>
      <c r="C84" t="s">
        <v>6</v>
      </c>
      <c r="D84">
        <v>101</v>
      </c>
      <c r="E84">
        <v>150</v>
      </c>
      <c r="F84" s="3">
        <v>405</v>
      </c>
      <c r="G84" s="3">
        <v>0.4</v>
      </c>
      <c r="H84" s="3">
        <v>1</v>
      </c>
      <c r="I84" s="3">
        <v>0.5</v>
      </c>
    </row>
    <row r="85" spans="1:9">
      <c r="A85" t="s">
        <v>47</v>
      </c>
      <c r="B85" t="s">
        <v>50</v>
      </c>
      <c r="C85" t="s">
        <v>6</v>
      </c>
      <c r="D85">
        <v>101</v>
      </c>
      <c r="E85">
        <v>150</v>
      </c>
      <c r="F85" s="3">
        <v>405</v>
      </c>
      <c r="G85" s="3">
        <v>0.25</v>
      </c>
      <c r="H85" s="3">
        <v>0.8</v>
      </c>
      <c r="I85" s="3">
        <v>0.5</v>
      </c>
    </row>
    <row r="86" spans="1:9">
      <c r="A86" t="s">
        <v>43</v>
      </c>
      <c r="B86" t="s">
        <v>11</v>
      </c>
      <c r="C86" t="s">
        <v>10</v>
      </c>
      <c r="D86">
        <v>101</v>
      </c>
      <c r="E86">
        <v>150</v>
      </c>
      <c r="F86" s="3">
        <v>455</v>
      </c>
      <c r="G86" s="3">
        <v>0.35</v>
      </c>
      <c r="H86" s="3">
        <v>2.2999999999999998</v>
      </c>
      <c r="I86" s="3">
        <v>1.05</v>
      </c>
    </row>
    <row r="87" spans="1:9">
      <c r="A87" t="s">
        <v>43</v>
      </c>
      <c r="B87" t="s">
        <v>9</v>
      </c>
      <c r="C87" t="s">
        <v>10</v>
      </c>
      <c r="D87">
        <v>101</v>
      </c>
      <c r="E87">
        <v>150</v>
      </c>
      <c r="F87" s="3">
        <v>455</v>
      </c>
      <c r="G87" s="3">
        <v>0.5</v>
      </c>
      <c r="H87" s="3">
        <v>2</v>
      </c>
      <c r="I87" s="3">
        <v>0.8</v>
      </c>
    </row>
    <row r="88" spans="1:9">
      <c r="A88" t="s">
        <v>43</v>
      </c>
      <c r="B88" t="s">
        <v>17</v>
      </c>
      <c r="C88" t="s">
        <v>10</v>
      </c>
      <c r="D88">
        <v>101</v>
      </c>
      <c r="E88">
        <v>150</v>
      </c>
      <c r="F88" s="3">
        <v>455</v>
      </c>
      <c r="G88" s="3">
        <v>0.5</v>
      </c>
      <c r="H88" s="3">
        <v>2.7</v>
      </c>
      <c r="I88" s="3">
        <v>1.4</v>
      </c>
    </row>
    <row r="89" spans="1:9">
      <c r="A89" t="s">
        <v>43</v>
      </c>
      <c r="B89" t="s">
        <v>5</v>
      </c>
      <c r="C89" t="s">
        <v>10</v>
      </c>
      <c r="D89">
        <v>101</v>
      </c>
      <c r="E89">
        <v>150</v>
      </c>
      <c r="F89" s="3">
        <v>455</v>
      </c>
      <c r="G89" s="3">
        <v>0.6</v>
      </c>
      <c r="H89" s="3">
        <v>1.9</v>
      </c>
      <c r="I89" s="3">
        <v>0.7</v>
      </c>
    </row>
    <row r="90" spans="1:9">
      <c r="A90" t="s">
        <v>43</v>
      </c>
      <c r="B90" t="s">
        <v>16</v>
      </c>
      <c r="C90" t="s">
        <v>10</v>
      </c>
      <c r="D90">
        <v>101</v>
      </c>
      <c r="E90">
        <v>150</v>
      </c>
      <c r="F90" s="3">
        <v>455</v>
      </c>
      <c r="G90" s="3">
        <v>0.5</v>
      </c>
      <c r="H90" s="3">
        <v>1.5</v>
      </c>
      <c r="I90" s="3">
        <v>0.7</v>
      </c>
    </row>
    <row r="91" spans="1:9">
      <c r="A91" t="s">
        <v>35</v>
      </c>
      <c r="B91" t="s">
        <v>15</v>
      </c>
      <c r="C91" t="s">
        <v>10</v>
      </c>
      <c r="D91">
        <v>101</v>
      </c>
      <c r="E91">
        <v>150</v>
      </c>
      <c r="F91" s="3">
        <v>455</v>
      </c>
      <c r="G91" s="3">
        <v>0.65</v>
      </c>
      <c r="H91" s="3">
        <v>2</v>
      </c>
      <c r="I91" s="3">
        <v>0.75</v>
      </c>
    </row>
    <row r="92" spans="1:9">
      <c r="A92" t="s">
        <v>35</v>
      </c>
      <c r="B92" t="s">
        <v>7</v>
      </c>
      <c r="C92" t="s">
        <v>10</v>
      </c>
      <c r="D92">
        <v>101</v>
      </c>
      <c r="E92">
        <v>150</v>
      </c>
      <c r="F92" s="3">
        <v>455</v>
      </c>
      <c r="G92" s="3">
        <v>0.65</v>
      </c>
      <c r="H92" s="3">
        <v>1.5</v>
      </c>
      <c r="I92" s="3">
        <v>0.75</v>
      </c>
    </row>
    <row r="93" spans="1:9">
      <c r="A93" t="s">
        <v>34</v>
      </c>
      <c r="B93" t="s">
        <v>13</v>
      </c>
      <c r="C93" t="s">
        <v>10</v>
      </c>
      <c r="D93">
        <v>101</v>
      </c>
      <c r="E93">
        <v>150</v>
      </c>
      <c r="F93" s="3">
        <v>455</v>
      </c>
      <c r="G93" s="3">
        <v>0.65</v>
      </c>
      <c r="H93" s="3">
        <v>2.2000000000000002</v>
      </c>
      <c r="I93" s="3">
        <v>0.9</v>
      </c>
    </row>
    <row r="94" spans="1:9">
      <c r="A94" t="s">
        <v>34</v>
      </c>
      <c r="B94" t="s">
        <v>14</v>
      </c>
      <c r="C94" t="s">
        <v>10</v>
      </c>
      <c r="D94">
        <v>101</v>
      </c>
      <c r="E94">
        <v>150</v>
      </c>
      <c r="F94" s="3">
        <v>455</v>
      </c>
      <c r="G94" s="3">
        <v>0.5</v>
      </c>
      <c r="H94" s="3">
        <v>1.3</v>
      </c>
      <c r="I94" s="3">
        <v>0.6</v>
      </c>
    </row>
    <row r="95" spans="1:9">
      <c r="A95" t="s">
        <v>30</v>
      </c>
      <c r="B95" t="s">
        <v>48</v>
      </c>
      <c r="C95" t="s">
        <v>10</v>
      </c>
      <c r="D95">
        <v>101</v>
      </c>
      <c r="E95">
        <v>150</v>
      </c>
      <c r="F95" s="3">
        <v>455</v>
      </c>
      <c r="G95" s="3">
        <v>0.55000000000000004</v>
      </c>
      <c r="H95" s="3">
        <v>1.95</v>
      </c>
      <c r="I95" s="3">
        <v>0.7</v>
      </c>
    </row>
    <row r="96" spans="1:9">
      <c r="A96" t="s">
        <v>47</v>
      </c>
      <c r="B96" t="s">
        <v>49</v>
      </c>
      <c r="C96" t="s">
        <v>10</v>
      </c>
      <c r="D96">
        <v>101</v>
      </c>
      <c r="E96">
        <v>150</v>
      </c>
      <c r="F96" s="3">
        <v>455</v>
      </c>
      <c r="G96" s="3">
        <v>0.4</v>
      </c>
      <c r="H96" s="3">
        <v>1</v>
      </c>
      <c r="I96" s="3">
        <v>0.5</v>
      </c>
    </row>
    <row r="97" spans="1:9">
      <c r="A97" t="s">
        <v>47</v>
      </c>
      <c r="B97" t="s">
        <v>50</v>
      </c>
      <c r="C97" t="s">
        <v>10</v>
      </c>
      <c r="D97">
        <v>101</v>
      </c>
      <c r="E97">
        <v>150</v>
      </c>
      <c r="F97" s="3">
        <v>455</v>
      </c>
      <c r="G97" s="3">
        <v>0.25</v>
      </c>
      <c r="H97" s="3">
        <v>0.8</v>
      </c>
      <c r="I97" s="3">
        <v>0.5</v>
      </c>
    </row>
    <row r="98" spans="1:9">
      <c r="A98" t="s">
        <v>43</v>
      </c>
      <c r="B98" t="s">
        <v>11</v>
      </c>
      <c r="C98" t="s">
        <v>8</v>
      </c>
      <c r="D98">
        <v>151</v>
      </c>
      <c r="E98">
        <v>200</v>
      </c>
      <c r="F98" s="3">
        <v>335</v>
      </c>
      <c r="G98" s="3">
        <v>0.35</v>
      </c>
      <c r="H98" s="3">
        <v>2.2999999999999998</v>
      </c>
      <c r="I98" s="3">
        <v>1.05</v>
      </c>
    </row>
    <row r="99" spans="1:9">
      <c r="A99" t="s">
        <v>43</v>
      </c>
      <c r="B99" t="s">
        <v>9</v>
      </c>
      <c r="C99" t="s">
        <v>8</v>
      </c>
      <c r="D99">
        <v>151</v>
      </c>
      <c r="E99">
        <v>200</v>
      </c>
      <c r="F99" s="3">
        <v>335</v>
      </c>
      <c r="G99" s="3">
        <v>0.5</v>
      </c>
      <c r="H99" s="3">
        <v>2</v>
      </c>
      <c r="I99" s="3">
        <v>0.8</v>
      </c>
    </row>
    <row r="100" spans="1:9">
      <c r="A100" t="s">
        <v>43</v>
      </c>
      <c r="B100" t="s">
        <v>17</v>
      </c>
      <c r="C100" t="s">
        <v>8</v>
      </c>
      <c r="D100">
        <v>151</v>
      </c>
      <c r="E100">
        <v>200</v>
      </c>
      <c r="F100" s="3">
        <v>335</v>
      </c>
      <c r="G100" s="3">
        <v>0.5</v>
      </c>
      <c r="H100" s="3">
        <v>2.7</v>
      </c>
      <c r="I100" s="3">
        <v>1.4</v>
      </c>
    </row>
    <row r="101" spans="1:9">
      <c r="A101" t="s">
        <v>43</v>
      </c>
      <c r="B101" t="s">
        <v>5</v>
      </c>
      <c r="C101" t="s">
        <v>8</v>
      </c>
      <c r="D101">
        <v>151</v>
      </c>
      <c r="E101">
        <v>200</v>
      </c>
      <c r="F101" s="3">
        <v>335</v>
      </c>
      <c r="G101" s="3">
        <v>0.6</v>
      </c>
      <c r="H101" s="3">
        <v>1.9</v>
      </c>
      <c r="I101" s="3">
        <v>0.7</v>
      </c>
    </row>
    <row r="102" spans="1:9">
      <c r="A102" t="s">
        <v>43</v>
      </c>
      <c r="B102" t="s">
        <v>16</v>
      </c>
      <c r="C102" t="s">
        <v>8</v>
      </c>
      <c r="D102">
        <v>151</v>
      </c>
      <c r="E102">
        <v>200</v>
      </c>
      <c r="F102" s="3">
        <v>335</v>
      </c>
      <c r="G102" s="3">
        <v>0.5</v>
      </c>
      <c r="H102" s="3">
        <v>1.5</v>
      </c>
      <c r="I102" s="3">
        <v>0.7</v>
      </c>
    </row>
    <row r="103" spans="1:9">
      <c r="A103" t="s">
        <v>35</v>
      </c>
      <c r="B103" t="s">
        <v>15</v>
      </c>
      <c r="C103" t="s">
        <v>8</v>
      </c>
      <c r="D103">
        <v>151</v>
      </c>
      <c r="E103">
        <v>200</v>
      </c>
      <c r="F103" s="3">
        <v>335</v>
      </c>
      <c r="G103" s="3">
        <v>0.65</v>
      </c>
      <c r="H103" s="3">
        <v>2</v>
      </c>
      <c r="I103" s="3">
        <v>0.75</v>
      </c>
    </row>
    <row r="104" spans="1:9">
      <c r="A104" t="s">
        <v>35</v>
      </c>
      <c r="B104" t="s">
        <v>7</v>
      </c>
      <c r="C104" t="s">
        <v>8</v>
      </c>
      <c r="D104">
        <v>151</v>
      </c>
      <c r="E104">
        <v>200</v>
      </c>
      <c r="F104" s="3">
        <v>335</v>
      </c>
      <c r="G104" s="3">
        <v>0.65</v>
      </c>
      <c r="H104" s="3">
        <v>1.5</v>
      </c>
      <c r="I104" s="3">
        <v>0.75</v>
      </c>
    </row>
    <row r="105" spans="1:9">
      <c r="A105" t="s">
        <v>34</v>
      </c>
      <c r="B105" t="s">
        <v>13</v>
      </c>
      <c r="C105" t="s">
        <v>8</v>
      </c>
      <c r="D105">
        <v>151</v>
      </c>
      <c r="E105">
        <v>200</v>
      </c>
      <c r="F105" s="3">
        <v>335</v>
      </c>
      <c r="G105" s="3">
        <v>0.65</v>
      </c>
      <c r="H105" s="3">
        <v>2.2000000000000002</v>
      </c>
      <c r="I105" s="3">
        <v>0.9</v>
      </c>
    </row>
    <row r="106" spans="1:9">
      <c r="A106" t="s">
        <v>34</v>
      </c>
      <c r="B106" t="s">
        <v>14</v>
      </c>
      <c r="C106" t="s">
        <v>8</v>
      </c>
      <c r="D106">
        <v>151</v>
      </c>
      <c r="E106">
        <v>200</v>
      </c>
      <c r="F106" s="3">
        <v>335</v>
      </c>
      <c r="G106" s="3">
        <v>0.5</v>
      </c>
      <c r="H106" s="3">
        <v>1.3</v>
      </c>
      <c r="I106" s="3">
        <v>0.6</v>
      </c>
    </row>
    <row r="107" spans="1:9">
      <c r="A107" t="s">
        <v>30</v>
      </c>
      <c r="B107" t="s">
        <v>48</v>
      </c>
      <c r="C107" t="s">
        <v>8</v>
      </c>
      <c r="D107">
        <v>151</v>
      </c>
      <c r="E107">
        <v>200</v>
      </c>
      <c r="F107" s="3">
        <v>335</v>
      </c>
      <c r="G107" s="3">
        <v>0.55000000000000004</v>
      </c>
      <c r="H107" s="3">
        <v>1.95</v>
      </c>
      <c r="I107" s="3">
        <v>0.7</v>
      </c>
    </row>
    <row r="108" spans="1:9">
      <c r="A108" t="s">
        <v>47</v>
      </c>
      <c r="B108" t="s">
        <v>49</v>
      </c>
      <c r="C108" t="s">
        <v>8</v>
      </c>
      <c r="D108">
        <v>151</v>
      </c>
      <c r="E108">
        <v>200</v>
      </c>
      <c r="F108" s="3">
        <v>335</v>
      </c>
      <c r="G108" s="3">
        <v>0.4</v>
      </c>
      <c r="H108" s="3">
        <v>1</v>
      </c>
      <c r="I108" s="3">
        <v>0.5</v>
      </c>
    </row>
    <row r="109" spans="1:9">
      <c r="A109" t="s">
        <v>47</v>
      </c>
      <c r="B109" t="s">
        <v>50</v>
      </c>
      <c r="C109" t="s">
        <v>8</v>
      </c>
      <c r="D109">
        <v>151</v>
      </c>
      <c r="E109">
        <v>200</v>
      </c>
      <c r="F109" s="3">
        <v>335</v>
      </c>
      <c r="G109" s="3">
        <v>0.25</v>
      </c>
      <c r="H109" s="3">
        <v>0.8</v>
      </c>
      <c r="I109" s="3">
        <v>0.5</v>
      </c>
    </row>
    <row r="110" spans="1:9">
      <c r="A110" t="s">
        <v>43</v>
      </c>
      <c r="B110" t="s">
        <v>11</v>
      </c>
      <c r="C110" t="s">
        <v>12</v>
      </c>
      <c r="D110">
        <v>151</v>
      </c>
      <c r="E110">
        <v>200</v>
      </c>
      <c r="F110" s="3">
        <v>416</v>
      </c>
      <c r="G110" s="3">
        <v>0.35</v>
      </c>
      <c r="H110" s="3">
        <v>2.2999999999999998</v>
      </c>
      <c r="I110" s="3">
        <v>1.05</v>
      </c>
    </row>
    <row r="111" spans="1:9">
      <c r="A111" t="s">
        <v>43</v>
      </c>
      <c r="B111" t="s">
        <v>9</v>
      </c>
      <c r="C111" t="s">
        <v>12</v>
      </c>
      <c r="D111">
        <v>151</v>
      </c>
      <c r="E111">
        <v>200</v>
      </c>
      <c r="F111" s="3">
        <v>416</v>
      </c>
      <c r="G111" s="3">
        <v>0.5</v>
      </c>
      <c r="H111" s="3">
        <v>2</v>
      </c>
      <c r="I111" s="3">
        <v>0.8</v>
      </c>
    </row>
    <row r="112" spans="1:9">
      <c r="A112" t="s">
        <v>43</v>
      </c>
      <c r="B112" t="s">
        <v>17</v>
      </c>
      <c r="C112" t="s">
        <v>12</v>
      </c>
      <c r="D112">
        <v>151</v>
      </c>
      <c r="E112">
        <v>200</v>
      </c>
      <c r="F112" s="3">
        <v>416</v>
      </c>
      <c r="G112" s="3">
        <v>0.5</v>
      </c>
      <c r="H112" s="3">
        <v>2.7</v>
      </c>
      <c r="I112" s="3">
        <v>1.4</v>
      </c>
    </row>
    <row r="113" spans="1:9">
      <c r="A113" t="s">
        <v>43</v>
      </c>
      <c r="B113" t="s">
        <v>5</v>
      </c>
      <c r="C113" t="s">
        <v>12</v>
      </c>
      <c r="D113">
        <v>151</v>
      </c>
      <c r="E113">
        <v>200</v>
      </c>
      <c r="F113" s="3">
        <v>416</v>
      </c>
      <c r="G113" s="3">
        <v>0.6</v>
      </c>
      <c r="H113" s="3">
        <v>1.9</v>
      </c>
      <c r="I113" s="3">
        <v>0.7</v>
      </c>
    </row>
    <row r="114" spans="1:9">
      <c r="A114" t="s">
        <v>43</v>
      </c>
      <c r="B114" t="s">
        <v>16</v>
      </c>
      <c r="C114" t="s">
        <v>12</v>
      </c>
      <c r="D114">
        <v>151</v>
      </c>
      <c r="E114">
        <v>200</v>
      </c>
      <c r="F114" s="3">
        <v>416</v>
      </c>
      <c r="G114" s="3">
        <v>0.5</v>
      </c>
      <c r="H114" s="3">
        <v>1.5</v>
      </c>
      <c r="I114" s="3">
        <v>0.7</v>
      </c>
    </row>
    <row r="115" spans="1:9">
      <c r="A115" t="s">
        <v>35</v>
      </c>
      <c r="B115" t="s">
        <v>15</v>
      </c>
      <c r="C115" t="s">
        <v>12</v>
      </c>
      <c r="D115">
        <v>151</v>
      </c>
      <c r="E115">
        <v>200</v>
      </c>
      <c r="F115" s="3">
        <v>416</v>
      </c>
      <c r="G115" s="3">
        <v>0.65</v>
      </c>
      <c r="H115" s="3">
        <v>2</v>
      </c>
      <c r="I115" s="3">
        <v>0.75</v>
      </c>
    </row>
    <row r="116" spans="1:9">
      <c r="A116" t="s">
        <v>35</v>
      </c>
      <c r="B116" t="s">
        <v>7</v>
      </c>
      <c r="C116" t="s">
        <v>12</v>
      </c>
      <c r="D116">
        <v>151</v>
      </c>
      <c r="E116">
        <v>200</v>
      </c>
      <c r="F116" s="3">
        <v>416</v>
      </c>
      <c r="G116" s="3">
        <v>0.65</v>
      </c>
      <c r="H116" s="3">
        <v>1.5</v>
      </c>
      <c r="I116" s="3">
        <v>0.75</v>
      </c>
    </row>
    <row r="117" spans="1:9">
      <c r="A117" t="s">
        <v>34</v>
      </c>
      <c r="B117" t="s">
        <v>13</v>
      </c>
      <c r="C117" t="s">
        <v>12</v>
      </c>
      <c r="D117">
        <v>151</v>
      </c>
      <c r="E117">
        <v>200</v>
      </c>
      <c r="F117" s="3">
        <v>416</v>
      </c>
      <c r="G117" s="3">
        <v>0.65</v>
      </c>
      <c r="H117" s="3">
        <v>2.2000000000000002</v>
      </c>
      <c r="I117" s="3">
        <v>0.9</v>
      </c>
    </row>
    <row r="118" spans="1:9">
      <c r="A118" t="s">
        <v>34</v>
      </c>
      <c r="B118" t="s">
        <v>14</v>
      </c>
      <c r="C118" t="s">
        <v>12</v>
      </c>
      <c r="D118">
        <v>151</v>
      </c>
      <c r="E118">
        <v>200</v>
      </c>
      <c r="F118" s="3">
        <v>416</v>
      </c>
      <c r="G118" s="3">
        <v>0.5</v>
      </c>
      <c r="H118" s="3">
        <v>1.3</v>
      </c>
      <c r="I118" s="3">
        <v>0.6</v>
      </c>
    </row>
    <row r="119" spans="1:9">
      <c r="A119" t="s">
        <v>30</v>
      </c>
      <c r="B119" t="s">
        <v>48</v>
      </c>
      <c r="C119" t="s">
        <v>12</v>
      </c>
      <c r="D119">
        <v>151</v>
      </c>
      <c r="E119">
        <v>200</v>
      </c>
      <c r="F119" s="3">
        <v>416</v>
      </c>
      <c r="G119" s="3">
        <v>0.55000000000000004</v>
      </c>
      <c r="H119" s="3">
        <v>1.95</v>
      </c>
      <c r="I119" s="3">
        <v>0.7</v>
      </c>
    </row>
    <row r="120" spans="1:9">
      <c r="A120" t="s">
        <v>47</v>
      </c>
      <c r="B120" t="s">
        <v>49</v>
      </c>
      <c r="C120" t="s">
        <v>12</v>
      </c>
      <c r="D120">
        <v>151</v>
      </c>
      <c r="E120">
        <v>200</v>
      </c>
      <c r="F120" s="3">
        <v>416</v>
      </c>
      <c r="G120" s="3">
        <v>0.4</v>
      </c>
      <c r="H120" s="3">
        <v>1</v>
      </c>
      <c r="I120" s="3">
        <v>0.5</v>
      </c>
    </row>
    <row r="121" spans="1:9">
      <c r="A121" t="s">
        <v>47</v>
      </c>
      <c r="B121" t="s">
        <v>50</v>
      </c>
      <c r="C121" t="s">
        <v>12</v>
      </c>
      <c r="D121">
        <v>151</v>
      </c>
      <c r="E121">
        <v>200</v>
      </c>
      <c r="F121" s="3">
        <v>416</v>
      </c>
      <c r="G121" s="3">
        <v>0.25</v>
      </c>
      <c r="H121" s="3">
        <v>0.8</v>
      </c>
      <c r="I121" s="3">
        <v>0.5</v>
      </c>
    </row>
    <row r="122" spans="1:9">
      <c r="A122" t="s">
        <v>43</v>
      </c>
      <c r="B122" t="s">
        <v>11</v>
      </c>
      <c r="C122" t="s">
        <v>6</v>
      </c>
      <c r="D122">
        <v>151</v>
      </c>
      <c r="E122">
        <v>200</v>
      </c>
      <c r="F122" s="3">
        <v>458</v>
      </c>
      <c r="G122" s="3">
        <v>0.35</v>
      </c>
      <c r="H122" s="3">
        <v>2.2999999999999998</v>
      </c>
      <c r="I122" s="3">
        <v>1.05</v>
      </c>
    </row>
    <row r="123" spans="1:9">
      <c r="A123" t="s">
        <v>43</v>
      </c>
      <c r="B123" t="s">
        <v>9</v>
      </c>
      <c r="C123" t="s">
        <v>6</v>
      </c>
      <c r="D123">
        <v>151</v>
      </c>
      <c r="E123">
        <v>200</v>
      </c>
      <c r="F123" s="3">
        <v>458</v>
      </c>
      <c r="G123" s="3">
        <v>0.5</v>
      </c>
      <c r="H123" s="3">
        <v>2</v>
      </c>
      <c r="I123" s="3">
        <v>0.8</v>
      </c>
    </row>
    <row r="124" spans="1:9">
      <c r="A124" t="s">
        <v>43</v>
      </c>
      <c r="B124" t="s">
        <v>17</v>
      </c>
      <c r="C124" t="s">
        <v>6</v>
      </c>
      <c r="D124">
        <v>151</v>
      </c>
      <c r="E124">
        <v>200</v>
      </c>
      <c r="F124" s="3">
        <v>458</v>
      </c>
      <c r="G124" s="3">
        <v>0.5</v>
      </c>
      <c r="H124" s="3">
        <v>2.7</v>
      </c>
      <c r="I124" s="3">
        <v>1.4</v>
      </c>
    </row>
    <row r="125" spans="1:9">
      <c r="A125" t="s">
        <v>43</v>
      </c>
      <c r="B125" t="s">
        <v>5</v>
      </c>
      <c r="C125" t="s">
        <v>6</v>
      </c>
      <c r="D125">
        <v>151</v>
      </c>
      <c r="E125">
        <v>200</v>
      </c>
      <c r="F125" s="3">
        <v>458</v>
      </c>
      <c r="G125" s="3">
        <v>0.6</v>
      </c>
      <c r="H125" s="3">
        <v>1.9</v>
      </c>
      <c r="I125" s="3">
        <v>0.7</v>
      </c>
    </row>
    <row r="126" spans="1:9">
      <c r="A126" t="s">
        <v>43</v>
      </c>
      <c r="B126" t="s">
        <v>16</v>
      </c>
      <c r="C126" t="s">
        <v>6</v>
      </c>
      <c r="D126">
        <v>151</v>
      </c>
      <c r="E126">
        <v>200</v>
      </c>
      <c r="F126" s="3">
        <v>458</v>
      </c>
      <c r="G126" s="3">
        <v>0.5</v>
      </c>
      <c r="H126" s="3">
        <v>1.5</v>
      </c>
      <c r="I126" s="3">
        <v>0.7</v>
      </c>
    </row>
    <row r="127" spans="1:9">
      <c r="A127" t="s">
        <v>35</v>
      </c>
      <c r="B127" t="s">
        <v>15</v>
      </c>
      <c r="C127" t="s">
        <v>6</v>
      </c>
      <c r="D127">
        <v>151</v>
      </c>
      <c r="E127">
        <v>200</v>
      </c>
      <c r="F127" s="3">
        <v>458</v>
      </c>
      <c r="G127" s="3">
        <v>0.65</v>
      </c>
      <c r="H127" s="3">
        <v>2</v>
      </c>
      <c r="I127" s="3">
        <v>0.75</v>
      </c>
    </row>
    <row r="128" spans="1:9">
      <c r="A128" t="s">
        <v>35</v>
      </c>
      <c r="B128" t="s">
        <v>7</v>
      </c>
      <c r="C128" t="s">
        <v>6</v>
      </c>
      <c r="D128">
        <v>151</v>
      </c>
      <c r="E128">
        <v>200</v>
      </c>
      <c r="F128" s="3">
        <v>458</v>
      </c>
      <c r="G128" s="3">
        <v>0.65</v>
      </c>
      <c r="H128" s="3">
        <v>1.5</v>
      </c>
      <c r="I128" s="3">
        <v>0.75</v>
      </c>
    </row>
    <row r="129" spans="1:9">
      <c r="A129" t="s">
        <v>34</v>
      </c>
      <c r="B129" t="s">
        <v>13</v>
      </c>
      <c r="C129" t="s">
        <v>6</v>
      </c>
      <c r="D129">
        <v>151</v>
      </c>
      <c r="E129">
        <v>200</v>
      </c>
      <c r="F129" s="3">
        <v>458</v>
      </c>
      <c r="G129" s="3">
        <v>0.65</v>
      </c>
      <c r="H129" s="3">
        <v>2.2000000000000002</v>
      </c>
      <c r="I129" s="3">
        <v>0.9</v>
      </c>
    </row>
    <row r="130" spans="1:9">
      <c r="A130" t="s">
        <v>34</v>
      </c>
      <c r="B130" t="s">
        <v>14</v>
      </c>
      <c r="C130" t="s">
        <v>6</v>
      </c>
      <c r="D130">
        <v>151</v>
      </c>
      <c r="E130">
        <v>200</v>
      </c>
      <c r="F130" s="3">
        <v>458</v>
      </c>
      <c r="G130" s="3">
        <v>0.5</v>
      </c>
      <c r="H130" s="3">
        <v>1.3</v>
      </c>
      <c r="I130" s="3">
        <v>0.6</v>
      </c>
    </row>
    <row r="131" spans="1:9">
      <c r="A131" t="s">
        <v>30</v>
      </c>
      <c r="B131" t="s">
        <v>48</v>
      </c>
      <c r="C131" t="s">
        <v>6</v>
      </c>
      <c r="D131">
        <v>151</v>
      </c>
      <c r="E131">
        <v>200</v>
      </c>
      <c r="F131" s="3">
        <v>458</v>
      </c>
      <c r="G131" s="3">
        <v>0.55000000000000004</v>
      </c>
      <c r="H131" s="3">
        <v>1.95</v>
      </c>
      <c r="I131" s="3">
        <v>0.7</v>
      </c>
    </row>
    <row r="132" spans="1:9">
      <c r="A132" t="s">
        <v>47</v>
      </c>
      <c r="B132" t="s">
        <v>49</v>
      </c>
      <c r="C132" t="s">
        <v>6</v>
      </c>
      <c r="D132">
        <v>151</v>
      </c>
      <c r="E132">
        <v>200</v>
      </c>
      <c r="F132" s="3">
        <v>458</v>
      </c>
      <c r="G132" s="3">
        <v>0.4</v>
      </c>
      <c r="H132" s="3">
        <v>1</v>
      </c>
      <c r="I132" s="3">
        <v>0.5</v>
      </c>
    </row>
    <row r="133" spans="1:9">
      <c r="A133" t="s">
        <v>47</v>
      </c>
      <c r="B133" t="s">
        <v>50</v>
      </c>
      <c r="C133" t="s">
        <v>6</v>
      </c>
      <c r="D133">
        <v>151</v>
      </c>
      <c r="E133">
        <v>200</v>
      </c>
      <c r="F133" s="3">
        <v>458</v>
      </c>
      <c r="G133" s="3">
        <v>0.25</v>
      </c>
      <c r="H133" s="3">
        <v>0.8</v>
      </c>
      <c r="I133" s="3">
        <v>0.5</v>
      </c>
    </row>
    <row r="134" spans="1:9">
      <c r="A134" t="s">
        <v>43</v>
      </c>
      <c r="B134" t="s">
        <v>11</v>
      </c>
      <c r="C134" t="s">
        <v>10</v>
      </c>
      <c r="D134">
        <v>151</v>
      </c>
      <c r="E134">
        <v>200</v>
      </c>
      <c r="F134" s="3">
        <v>505</v>
      </c>
      <c r="G134" s="3">
        <v>0.35</v>
      </c>
      <c r="H134" s="3">
        <v>2.2999999999999998</v>
      </c>
      <c r="I134" s="3">
        <v>1.05</v>
      </c>
    </row>
    <row r="135" spans="1:9">
      <c r="A135" t="s">
        <v>43</v>
      </c>
      <c r="B135" t="s">
        <v>9</v>
      </c>
      <c r="C135" t="s">
        <v>10</v>
      </c>
      <c r="D135">
        <v>151</v>
      </c>
      <c r="E135">
        <v>200</v>
      </c>
      <c r="F135" s="3">
        <v>505</v>
      </c>
      <c r="G135" s="3">
        <v>0.5</v>
      </c>
      <c r="H135" s="3">
        <v>2</v>
      </c>
      <c r="I135" s="3">
        <v>0.8</v>
      </c>
    </row>
    <row r="136" spans="1:9">
      <c r="A136" t="s">
        <v>43</v>
      </c>
      <c r="B136" t="s">
        <v>17</v>
      </c>
      <c r="C136" t="s">
        <v>10</v>
      </c>
      <c r="D136">
        <v>151</v>
      </c>
      <c r="E136">
        <v>200</v>
      </c>
      <c r="F136" s="3">
        <v>505</v>
      </c>
      <c r="G136" s="3">
        <v>0.5</v>
      </c>
      <c r="H136" s="3">
        <v>2.7</v>
      </c>
      <c r="I136" s="3">
        <v>1.4</v>
      </c>
    </row>
    <row r="137" spans="1:9">
      <c r="A137" t="s">
        <v>43</v>
      </c>
      <c r="B137" t="s">
        <v>5</v>
      </c>
      <c r="C137" t="s">
        <v>10</v>
      </c>
      <c r="D137">
        <v>151</v>
      </c>
      <c r="E137">
        <v>200</v>
      </c>
      <c r="F137" s="3">
        <v>505</v>
      </c>
      <c r="G137" s="3">
        <v>0.6</v>
      </c>
      <c r="H137" s="3">
        <v>1.9</v>
      </c>
      <c r="I137" s="3">
        <v>0.7</v>
      </c>
    </row>
    <row r="138" spans="1:9">
      <c r="A138" t="s">
        <v>43</v>
      </c>
      <c r="B138" t="s">
        <v>16</v>
      </c>
      <c r="C138" t="s">
        <v>10</v>
      </c>
      <c r="D138">
        <v>151</v>
      </c>
      <c r="E138">
        <v>200</v>
      </c>
      <c r="F138" s="3">
        <v>505</v>
      </c>
      <c r="G138" s="3">
        <v>0.5</v>
      </c>
      <c r="H138" s="3">
        <v>1.5</v>
      </c>
      <c r="I138" s="3">
        <v>0.7</v>
      </c>
    </row>
    <row r="139" spans="1:9">
      <c r="A139" t="s">
        <v>35</v>
      </c>
      <c r="B139" t="s">
        <v>15</v>
      </c>
      <c r="C139" t="s">
        <v>10</v>
      </c>
      <c r="D139">
        <v>151</v>
      </c>
      <c r="E139">
        <v>200</v>
      </c>
      <c r="F139" s="3">
        <v>505</v>
      </c>
      <c r="G139" s="3">
        <v>0.65</v>
      </c>
      <c r="H139" s="3">
        <v>2</v>
      </c>
      <c r="I139" s="3">
        <v>0.75</v>
      </c>
    </row>
    <row r="140" spans="1:9">
      <c r="A140" t="s">
        <v>35</v>
      </c>
      <c r="B140" t="s">
        <v>7</v>
      </c>
      <c r="C140" t="s">
        <v>10</v>
      </c>
      <c r="D140">
        <v>151</v>
      </c>
      <c r="E140">
        <v>200</v>
      </c>
      <c r="F140" s="3">
        <v>505</v>
      </c>
      <c r="G140" s="3">
        <v>0.65</v>
      </c>
      <c r="H140" s="3">
        <v>1.5</v>
      </c>
      <c r="I140" s="3">
        <v>0.75</v>
      </c>
    </row>
    <row r="141" spans="1:9">
      <c r="A141" t="s">
        <v>34</v>
      </c>
      <c r="B141" t="s">
        <v>13</v>
      </c>
      <c r="C141" t="s">
        <v>10</v>
      </c>
      <c r="D141">
        <v>151</v>
      </c>
      <c r="E141">
        <v>200</v>
      </c>
      <c r="F141" s="3">
        <v>505</v>
      </c>
      <c r="G141" s="3">
        <v>0.65</v>
      </c>
      <c r="H141" s="3">
        <v>2.2000000000000002</v>
      </c>
      <c r="I141" s="3">
        <v>0.9</v>
      </c>
    </row>
    <row r="142" spans="1:9">
      <c r="A142" t="s">
        <v>34</v>
      </c>
      <c r="B142" t="s">
        <v>14</v>
      </c>
      <c r="C142" t="s">
        <v>10</v>
      </c>
      <c r="D142">
        <v>151</v>
      </c>
      <c r="E142">
        <v>200</v>
      </c>
      <c r="F142" s="3">
        <v>505</v>
      </c>
      <c r="G142" s="3">
        <v>0.5</v>
      </c>
      <c r="H142" s="3">
        <v>1.3</v>
      </c>
      <c r="I142" s="3">
        <v>0.6</v>
      </c>
    </row>
    <row r="143" spans="1:9">
      <c r="A143" t="s">
        <v>30</v>
      </c>
      <c r="B143" t="s">
        <v>48</v>
      </c>
      <c r="C143" t="s">
        <v>10</v>
      </c>
      <c r="D143">
        <v>151</v>
      </c>
      <c r="E143">
        <v>200</v>
      </c>
      <c r="F143" s="3">
        <v>505</v>
      </c>
      <c r="G143" s="3">
        <v>0.55000000000000004</v>
      </c>
      <c r="H143" s="3">
        <v>1.95</v>
      </c>
      <c r="I143" s="3">
        <v>0.7</v>
      </c>
    </row>
    <row r="144" spans="1:9">
      <c r="A144" t="s">
        <v>47</v>
      </c>
      <c r="B144" t="s">
        <v>49</v>
      </c>
      <c r="C144" t="s">
        <v>10</v>
      </c>
      <c r="D144">
        <v>151</v>
      </c>
      <c r="E144">
        <v>200</v>
      </c>
      <c r="F144" s="3">
        <v>505</v>
      </c>
      <c r="G144" s="3">
        <v>0.4</v>
      </c>
      <c r="H144" s="3">
        <v>1</v>
      </c>
      <c r="I144" s="3">
        <v>0.5</v>
      </c>
    </row>
    <row r="145" spans="1:9">
      <c r="A145" t="s">
        <v>47</v>
      </c>
      <c r="B145" t="s">
        <v>50</v>
      </c>
      <c r="C145" t="s">
        <v>10</v>
      </c>
      <c r="D145">
        <v>151</v>
      </c>
      <c r="E145">
        <v>200</v>
      </c>
      <c r="F145" s="3">
        <v>505</v>
      </c>
      <c r="G145" s="3">
        <v>0.25</v>
      </c>
      <c r="H145" s="3">
        <v>0.8</v>
      </c>
      <c r="I145" s="3">
        <v>0.5</v>
      </c>
    </row>
    <row r="146" spans="1:9">
      <c r="A146" t="s">
        <v>43</v>
      </c>
      <c r="B146" t="s">
        <v>11</v>
      </c>
      <c r="C146" t="s">
        <v>8</v>
      </c>
      <c r="D146">
        <v>201</v>
      </c>
      <c r="E146">
        <v>300</v>
      </c>
      <c r="F146" s="3">
        <v>375</v>
      </c>
      <c r="G146" s="3">
        <v>0.35</v>
      </c>
      <c r="H146" s="3">
        <v>2.2999999999999998</v>
      </c>
      <c r="I146" s="3">
        <v>1.05</v>
      </c>
    </row>
    <row r="147" spans="1:9">
      <c r="A147" t="s">
        <v>43</v>
      </c>
      <c r="B147" t="s">
        <v>9</v>
      </c>
      <c r="C147" t="s">
        <v>8</v>
      </c>
      <c r="D147">
        <v>201</v>
      </c>
      <c r="E147">
        <v>300</v>
      </c>
      <c r="F147" s="3">
        <v>375</v>
      </c>
      <c r="G147" s="3">
        <v>0.5</v>
      </c>
      <c r="H147" s="3">
        <v>2</v>
      </c>
      <c r="I147" s="3">
        <v>0.8</v>
      </c>
    </row>
    <row r="148" spans="1:9">
      <c r="A148" t="s">
        <v>43</v>
      </c>
      <c r="B148" t="s">
        <v>17</v>
      </c>
      <c r="C148" t="s">
        <v>8</v>
      </c>
      <c r="D148">
        <v>201</v>
      </c>
      <c r="E148">
        <v>300</v>
      </c>
      <c r="F148" s="3">
        <v>375</v>
      </c>
      <c r="G148" s="3">
        <v>0.5</v>
      </c>
      <c r="H148" s="3">
        <v>2.7</v>
      </c>
      <c r="I148" s="3">
        <v>1.4</v>
      </c>
    </row>
    <row r="149" spans="1:9">
      <c r="A149" t="s">
        <v>43</v>
      </c>
      <c r="B149" t="s">
        <v>5</v>
      </c>
      <c r="C149" t="s">
        <v>8</v>
      </c>
      <c r="D149">
        <v>201</v>
      </c>
      <c r="E149">
        <v>300</v>
      </c>
      <c r="F149" s="3">
        <v>375</v>
      </c>
      <c r="G149" s="3">
        <v>0.6</v>
      </c>
      <c r="H149" s="3">
        <v>1.9</v>
      </c>
      <c r="I149" s="3">
        <v>0.7</v>
      </c>
    </row>
    <row r="150" spans="1:9">
      <c r="A150" t="s">
        <v>43</v>
      </c>
      <c r="B150" t="s">
        <v>16</v>
      </c>
      <c r="C150" t="s">
        <v>8</v>
      </c>
      <c r="D150">
        <v>201</v>
      </c>
      <c r="E150">
        <v>300</v>
      </c>
      <c r="F150" s="3">
        <v>375</v>
      </c>
      <c r="G150" s="3">
        <v>0.5</v>
      </c>
      <c r="H150" s="3">
        <v>1.5</v>
      </c>
      <c r="I150" s="3">
        <v>0.7</v>
      </c>
    </row>
    <row r="151" spans="1:9">
      <c r="A151" t="s">
        <v>35</v>
      </c>
      <c r="B151" t="s">
        <v>15</v>
      </c>
      <c r="C151" t="s">
        <v>8</v>
      </c>
      <c r="D151">
        <v>201</v>
      </c>
      <c r="E151">
        <v>300</v>
      </c>
      <c r="F151" s="3">
        <v>375</v>
      </c>
      <c r="G151" s="3">
        <v>0.65</v>
      </c>
      <c r="H151" s="3">
        <v>2</v>
      </c>
      <c r="I151" s="3">
        <v>0.75</v>
      </c>
    </row>
    <row r="152" spans="1:9">
      <c r="A152" t="s">
        <v>35</v>
      </c>
      <c r="B152" t="s">
        <v>7</v>
      </c>
      <c r="C152" t="s">
        <v>8</v>
      </c>
      <c r="D152">
        <v>201</v>
      </c>
      <c r="E152">
        <v>300</v>
      </c>
      <c r="F152" s="3">
        <v>375</v>
      </c>
      <c r="G152" s="3">
        <v>0.65</v>
      </c>
      <c r="H152" s="3">
        <v>1.5</v>
      </c>
      <c r="I152" s="3">
        <v>0.75</v>
      </c>
    </row>
    <row r="153" spans="1:9">
      <c r="A153" t="s">
        <v>34</v>
      </c>
      <c r="B153" t="s">
        <v>13</v>
      </c>
      <c r="C153" t="s">
        <v>8</v>
      </c>
      <c r="D153">
        <v>201</v>
      </c>
      <c r="E153">
        <v>300</v>
      </c>
      <c r="F153" s="3">
        <v>375</v>
      </c>
      <c r="G153" s="3">
        <v>0.65</v>
      </c>
      <c r="H153" s="3">
        <v>2.2000000000000002</v>
      </c>
      <c r="I153" s="3">
        <v>0.9</v>
      </c>
    </row>
    <row r="154" spans="1:9">
      <c r="A154" t="s">
        <v>34</v>
      </c>
      <c r="B154" t="s">
        <v>14</v>
      </c>
      <c r="C154" t="s">
        <v>8</v>
      </c>
      <c r="D154">
        <v>201</v>
      </c>
      <c r="E154">
        <v>300</v>
      </c>
      <c r="F154" s="3">
        <v>375</v>
      </c>
      <c r="G154" s="3">
        <v>0.5</v>
      </c>
      <c r="H154" s="3">
        <v>1.3</v>
      </c>
      <c r="I154" s="3">
        <v>0.6</v>
      </c>
    </row>
    <row r="155" spans="1:9">
      <c r="A155" t="s">
        <v>30</v>
      </c>
      <c r="B155" t="s">
        <v>48</v>
      </c>
      <c r="C155" t="s">
        <v>8</v>
      </c>
      <c r="D155">
        <v>201</v>
      </c>
      <c r="E155">
        <v>300</v>
      </c>
      <c r="F155" s="3">
        <v>375</v>
      </c>
      <c r="G155" s="3">
        <v>0.55000000000000004</v>
      </c>
      <c r="H155" s="3">
        <v>1.95</v>
      </c>
      <c r="I155" s="3">
        <v>0.7</v>
      </c>
    </row>
    <row r="156" spans="1:9">
      <c r="A156" t="s">
        <v>47</v>
      </c>
      <c r="B156" t="s">
        <v>49</v>
      </c>
      <c r="C156" t="s">
        <v>8</v>
      </c>
      <c r="D156">
        <v>201</v>
      </c>
      <c r="E156">
        <v>300</v>
      </c>
      <c r="F156" s="3">
        <v>375</v>
      </c>
      <c r="G156" s="3">
        <v>0.4</v>
      </c>
      <c r="H156" s="3">
        <v>1</v>
      </c>
      <c r="I156" s="3">
        <v>0.5</v>
      </c>
    </row>
    <row r="157" spans="1:9">
      <c r="A157" t="s">
        <v>47</v>
      </c>
      <c r="B157" t="s">
        <v>50</v>
      </c>
      <c r="C157" t="s">
        <v>8</v>
      </c>
      <c r="D157">
        <v>201</v>
      </c>
      <c r="E157">
        <v>300</v>
      </c>
      <c r="F157" s="3">
        <v>375</v>
      </c>
      <c r="G157" s="3">
        <v>0.25</v>
      </c>
      <c r="H157" s="3">
        <v>0.8</v>
      </c>
      <c r="I157" s="3">
        <v>0.5</v>
      </c>
    </row>
    <row r="158" spans="1:9">
      <c r="A158" t="s">
        <v>43</v>
      </c>
      <c r="B158" t="s">
        <v>11</v>
      </c>
      <c r="C158" t="s">
        <v>12</v>
      </c>
      <c r="D158">
        <v>201</v>
      </c>
      <c r="E158">
        <v>300</v>
      </c>
      <c r="F158" s="3">
        <v>464</v>
      </c>
      <c r="G158" s="3">
        <v>0.35</v>
      </c>
      <c r="H158" s="3">
        <v>2.2999999999999998</v>
      </c>
      <c r="I158" s="3">
        <v>1.05</v>
      </c>
    </row>
    <row r="159" spans="1:9">
      <c r="A159" t="s">
        <v>43</v>
      </c>
      <c r="B159" t="s">
        <v>9</v>
      </c>
      <c r="C159" t="s">
        <v>12</v>
      </c>
      <c r="D159">
        <v>201</v>
      </c>
      <c r="E159">
        <v>300</v>
      </c>
      <c r="F159" s="3">
        <v>464</v>
      </c>
      <c r="G159" s="3">
        <v>0.5</v>
      </c>
      <c r="H159" s="3">
        <v>2</v>
      </c>
      <c r="I159" s="3">
        <v>0.8</v>
      </c>
    </row>
    <row r="160" spans="1:9">
      <c r="A160" t="s">
        <v>43</v>
      </c>
      <c r="B160" t="s">
        <v>17</v>
      </c>
      <c r="C160" t="s">
        <v>12</v>
      </c>
      <c r="D160">
        <v>201</v>
      </c>
      <c r="E160">
        <v>300</v>
      </c>
      <c r="F160" s="3">
        <v>464</v>
      </c>
      <c r="G160" s="3">
        <v>0.5</v>
      </c>
      <c r="H160" s="3">
        <v>2.7</v>
      </c>
      <c r="I160" s="3">
        <v>1.4</v>
      </c>
    </row>
    <row r="161" spans="1:9">
      <c r="A161" t="s">
        <v>43</v>
      </c>
      <c r="B161" t="s">
        <v>5</v>
      </c>
      <c r="C161" t="s">
        <v>12</v>
      </c>
      <c r="D161">
        <v>201</v>
      </c>
      <c r="E161">
        <v>300</v>
      </c>
      <c r="F161" s="3">
        <v>464</v>
      </c>
      <c r="G161" s="3">
        <v>0.6</v>
      </c>
      <c r="H161" s="3">
        <v>1.9</v>
      </c>
      <c r="I161" s="3">
        <v>0.7</v>
      </c>
    </row>
    <row r="162" spans="1:9">
      <c r="A162" t="s">
        <v>43</v>
      </c>
      <c r="B162" t="s">
        <v>16</v>
      </c>
      <c r="C162" t="s">
        <v>12</v>
      </c>
      <c r="D162">
        <v>201</v>
      </c>
      <c r="E162">
        <v>300</v>
      </c>
      <c r="F162" s="3">
        <v>464</v>
      </c>
      <c r="G162" s="3">
        <v>0.5</v>
      </c>
      <c r="H162" s="3">
        <v>1.5</v>
      </c>
      <c r="I162" s="3">
        <v>0.7</v>
      </c>
    </row>
    <row r="163" spans="1:9">
      <c r="A163" t="s">
        <v>35</v>
      </c>
      <c r="B163" t="s">
        <v>15</v>
      </c>
      <c r="C163" t="s">
        <v>12</v>
      </c>
      <c r="D163">
        <v>201</v>
      </c>
      <c r="E163">
        <v>300</v>
      </c>
      <c r="F163" s="3">
        <v>464</v>
      </c>
      <c r="G163" s="3">
        <v>0.65</v>
      </c>
      <c r="H163" s="3">
        <v>2</v>
      </c>
      <c r="I163" s="3">
        <v>0.75</v>
      </c>
    </row>
    <row r="164" spans="1:9">
      <c r="A164" t="s">
        <v>35</v>
      </c>
      <c r="B164" t="s">
        <v>7</v>
      </c>
      <c r="C164" t="s">
        <v>12</v>
      </c>
      <c r="D164">
        <v>201</v>
      </c>
      <c r="E164">
        <v>300</v>
      </c>
      <c r="F164" s="3">
        <v>464</v>
      </c>
      <c r="G164" s="3">
        <v>0.65</v>
      </c>
      <c r="H164" s="3">
        <v>1.5</v>
      </c>
      <c r="I164" s="3">
        <v>0.75</v>
      </c>
    </row>
    <row r="165" spans="1:9">
      <c r="A165" t="s">
        <v>34</v>
      </c>
      <c r="B165" t="s">
        <v>13</v>
      </c>
      <c r="C165" t="s">
        <v>12</v>
      </c>
      <c r="D165">
        <v>201</v>
      </c>
      <c r="E165">
        <v>300</v>
      </c>
      <c r="F165" s="3">
        <v>464</v>
      </c>
      <c r="G165" s="3">
        <v>0.65</v>
      </c>
      <c r="H165" s="3">
        <v>2.2000000000000002</v>
      </c>
      <c r="I165" s="3">
        <v>0.9</v>
      </c>
    </row>
    <row r="166" spans="1:9">
      <c r="A166" t="s">
        <v>34</v>
      </c>
      <c r="B166" t="s">
        <v>14</v>
      </c>
      <c r="C166" t="s">
        <v>12</v>
      </c>
      <c r="D166">
        <v>201</v>
      </c>
      <c r="E166">
        <v>300</v>
      </c>
      <c r="F166" s="3">
        <v>464</v>
      </c>
      <c r="G166" s="3">
        <v>0.5</v>
      </c>
      <c r="H166" s="3">
        <v>1.3</v>
      </c>
      <c r="I166" s="3">
        <v>0.6</v>
      </c>
    </row>
    <row r="167" spans="1:9">
      <c r="A167" t="s">
        <v>30</v>
      </c>
      <c r="B167" t="s">
        <v>48</v>
      </c>
      <c r="C167" t="s">
        <v>12</v>
      </c>
      <c r="D167">
        <v>201</v>
      </c>
      <c r="E167">
        <v>300</v>
      </c>
      <c r="F167" s="3">
        <v>464</v>
      </c>
      <c r="G167" s="3">
        <v>0.55000000000000004</v>
      </c>
      <c r="H167" s="3">
        <v>1.95</v>
      </c>
      <c r="I167" s="3">
        <v>0.7</v>
      </c>
    </row>
    <row r="168" spans="1:9">
      <c r="A168" t="s">
        <v>47</v>
      </c>
      <c r="B168" t="s">
        <v>49</v>
      </c>
      <c r="C168" t="s">
        <v>12</v>
      </c>
      <c r="D168">
        <v>201</v>
      </c>
      <c r="E168">
        <v>300</v>
      </c>
      <c r="F168" s="3">
        <v>464</v>
      </c>
      <c r="G168" s="3">
        <v>0.4</v>
      </c>
      <c r="H168" s="3">
        <v>1</v>
      </c>
      <c r="I168" s="3">
        <v>0.5</v>
      </c>
    </row>
    <row r="169" spans="1:9">
      <c r="A169" t="s">
        <v>47</v>
      </c>
      <c r="B169" t="s">
        <v>50</v>
      </c>
      <c r="C169" t="s">
        <v>12</v>
      </c>
      <c r="D169">
        <v>201</v>
      </c>
      <c r="E169">
        <v>300</v>
      </c>
      <c r="F169" s="3">
        <v>464</v>
      </c>
      <c r="G169" s="3">
        <v>0.25</v>
      </c>
      <c r="H169" s="3">
        <v>0.8</v>
      </c>
      <c r="I169" s="3">
        <v>0.5</v>
      </c>
    </row>
    <row r="170" spans="1:9">
      <c r="A170" t="s">
        <v>43</v>
      </c>
      <c r="B170" t="s">
        <v>11</v>
      </c>
      <c r="C170" t="s">
        <v>6</v>
      </c>
      <c r="D170">
        <v>201</v>
      </c>
      <c r="E170">
        <v>300</v>
      </c>
      <c r="F170" s="3">
        <v>511</v>
      </c>
      <c r="G170" s="3">
        <v>0.35</v>
      </c>
      <c r="H170" s="3">
        <v>2.2999999999999998</v>
      </c>
      <c r="I170" s="3">
        <v>1.05</v>
      </c>
    </row>
    <row r="171" spans="1:9">
      <c r="A171" t="s">
        <v>43</v>
      </c>
      <c r="B171" t="s">
        <v>9</v>
      </c>
      <c r="C171" t="s">
        <v>6</v>
      </c>
      <c r="D171">
        <v>201</v>
      </c>
      <c r="E171">
        <v>300</v>
      </c>
      <c r="F171" s="3">
        <v>511</v>
      </c>
      <c r="G171" s="3">
        <v>0.5</v>
      </c>
      <c r="H171" s="3">
        <v>2</v>
      </c>
      <c r="I171" s="3">
        <v>0.8</v>
      </c>
    </row>
    <row r="172" spans="1:9">
      <c r="A172" t="s">
        <v>43</v>
      </c>
      <c r="B172" t="s">
        <v>17</v>
      </c>
      <c r="C172" t="s">
        <v>6</v>
      </c>
      <c r="D172">
        <v>201</v>
      </c>
      <c r="E172">
        <v>300</v>
      </c>
      <c r="F172" s="3">
        <v>511</v>
      </c>
      <c r="G172" s="3">
        <v>0.5</v>
      </c>
      <c r="H172" s="3">
        <v>2.7</v>
      </c>
      <c r="I172" s="3">
        <v>1.4</v>
      </c>
    </row>
    <row r="173" spans="1:9">
      <c r="A173" t="s">
        <v>43</v>
      </c>
      <c r="B173" t="s">
        <v>5</v>
      </c>
      <c r="C173" t="s">
        <v>6</v>
      </c>
      <c r="D173">
        <v>201</v>
      </c>
      <c r="E173">
        <v>300</v>
      </c>
      <c r="F173" s="3">
        <v>511</v>
      </c>
      <c r="G173" s="3">
        <v>0.6</v>
      </c>
      <c r="H173" s="3">
        <v>1.9</v>
      </c>
      <c r="I173" s="3">
        <v>0.7</v>
      </c>
    </row>
    <row r="174" spans="1:9">
      <c r="A174" t="s">
        <v>43</v>
      </c>
      <c r="B174" t="s">
        <v>16</v>
      </c>
      <c r="C174" t="s">
        <v>6</v>
      </c>
      <c r="D174">
        <v>201</v>
      </c>
      <c r="E174">
        <v>300</v>
      </c>
      <c r="F174" s="3">
        <v>511</v>
      </c>
      <c r="G174" s="3">
        <v>0.5</v>
      </c>
      <c r="H174" s="3">
        <v>1.5</v>
      </c>
      <c r="I174" s="3">
        <v>0.7</v>
      </c>
    </row>
    <row r="175" spans="1:9">
      <c r="A175" t="s">
        <v>35</v>
      </c>
      <c r="B175" t="s">
        <v>15</v>
      </c>
      <c r="C175" t="s">
        <v>6</v>
      </c>
      <c r="D175">
        <v>201</v>
      </c>
      <c r="E175">
        <v>300</v>
      </c>
      <c r="F175" s="3">
        <v>511</v>
      </c>
      <c r="G175" s="3">
        <v>0.65</v>
      </c>
      <c r="H175" s="3">
        <v>2</v>
      </c>
      <c r="I175" s="3">
        <v>0.75</v>
      </c>
    </row>
    <row r="176" spans="1:9">
      <c r="A176" t="s">
        <v>35</v>
      </c>
      <c r="B176" t="s">
        <v>7</v>
      </c>
      <c r="C176" t="s">
        <v>6</v>
      </c>
      <c r="D176">
        <v>201</v>
      </c>
      <c r="E176">
        <v>300</v>
      </c>
      <c r="F176" s="3">
        <v>511</v>
      </c>
      <c r="G176" s="3">
        <v>0.65</v>
      </c>
      <c r="H176" s="3">
        <v>1.5</v>
      </c>
      <c r="I176" s="3">
        <v>0.75</v>
      </c>
    </row>
    <row r="177" spans="1:9">
      <c r="A177" t="s">
        <v>34</v>
      </c>
      <c r="B177" t="s">
        <v>13</v>
      </c>
      <c r="C177" t="s">
        <v>6</v>
      </c>
      <c r="D177">
        <v>201</v>
      </c>
      <c r="E177">
        <v>300</v>
      </c>
      <c r="F177" s="3">
        <v>511</v>
      </c>
      <c r="G177" s="3">
        <v>0.65</v>
      </c>
      <c r="H177" s="3">
        <v>2.2000000000000002</v>
      </c>
      <c r="I177" s="3">
        <v>0.9</v>
      </c>
    </row>
    <row r="178" spans="1:9">
      <c r="A178" t="s">
        <v>34</v>
      </c>
      <c r="B178" t="s">
        <v>14</v>
      </c>
      <c r="C178" t="s">
        <v>6</v>
      </c>
      <c r="D178">
        <v>201</v>
      </c>
      <c r="E178">
        <v>300</v>
      </c>
      <c r="F178" s="3">
        <v>511</v>
      </c>
      <c r="G178" s="3">
        <v>0.5</v>
      </c>
      <c r="H178" s="3">
        <v>1.3</v>
      </c>
      <c r="I178" s="3">
        <v>0.6</v>
      </c>
    </row>
    <row r="179" spans="1:9">
      <c r="A179" t="s">
        <v>30</v>
      </c>
      <c r="B179" t="s">
        <v>48</v>
      </c>
      <c r="C179" t="s">
        <v>6</v>
      </c>
      <c r="D179">
        <v>201</v>
      </c>
      <c r="E179">
        <v>300</v>
      </c>
      <c r="F179" s="3">
        <v>511</v>
      </c>
      <c r="G179" s="3">
        <v>0.55000000000000004</v>
      </c>
      <c r="H179" s="3">
        <v>1.95</v>
      </c>
      <c r="I179" s="3">
        <v>0.7</v>
      </c>
    </row>
    <row r="180" spans="1:9">
      <c r="A180" t="s">
        <v>47</v>
      </c>
      <c r="B180" t="s">
        <v>49</v>
      </c>
      <c r="C180" t="s">
        <v>6</v>
      </c>
      <c r="D180">
        <v>201</v>
      </c>
      <c r="E180">
        <v>300</v>
      </c>
      <c r="F180" s="3">
        <v>511</v>
      </c>
      <c r="G180" s="3">
        <v>0.4</v>
      </c>
      <c r="H180" s="3">
        <v>1</v>
      </c>
      <c r="I180" s="3">
        <v>0.5</v>
      </c>
    </row>
    <row r="181" spans="1:9">
      <c r="A181" t="s">
        <v>47</v>
      </c>
      <c r="B181" t="s">
        <v>50</v>
      </c>
      <c r="C181" t="s">
        <v>6</v>
      </c>
      <c r="D181">
        <v>201</v>
      </c>
      <c r="E181">
        <v>300</v>
      </c>
      <c r="F181" s="3">
        <v>511</v>
      </c>
      <c r="G181" s="3">
        <v>0.25</v>
      </c>
      <c r="H181" s="3">
        <v>0.8</v>
      </c>
      <c r="I181" s="3">
        <v>0.5</v>
      </c>
    </row>
    <row r="182" spans="1:9">
      <c r="A182" t="s">
        <v>43</v>
      </c>
      <c r="B182" t="s">
        <v>11</v>
      </c>
      <c r="C182" t="s">
        <v>10</v>
      </c>
      <c r="D182">
        <v>201</v>
      </c>
      <c r="E182">
        <v>300</v>
      </c>
      <c r="F182" s="3">
        <v>555</v>
      </c>
      <c r="G182" s="3">
        <v>0.35</v>
      </c>
      <c r="H182" s="3">
        <v>2.2999999999999998</v>
      </c>
      <c r="I182" s="3">
        <v>1.05</v>
      </c>
    </row>
    <row r="183" spans="1:9">
      <c r="A183" t="s">
        <v>43</v>
      </c>
      <c r="B183" t="s">
        <v>9</v>
      </c>
      <c r="C183" t="s">
        <v>10</v>
      </c>
      <c r="D183">
        <v>201</v>
      </c>
      <c r="E183">
        <v>300</v>
      </c>
      <c r="F183" s="3">
        <v>555</v>
      </c>
      <c r="G183" s="3">
        <v>0.5</v>
      </c>
      <c r="H183" s="3">
        <v>2</v>
      </c>
      <c r="I183" s="3">
        <v>0.8</v>
      </c>
    </row>
    <row r="184" spans="1:9">
      <c r="A184" t="s">
        <v>43</v>
      </c>
      <c r="B184" t="s">
        <v>17</v>
      </c>
      <c r="C184" t="s">
        <v>10</v>
      </c>
      <c r="D184">
        <v>201</v>
      </c>
      <c r="E184">
        <v>300</v>
      </c>
      <c r="F184" s="3">
        <v>555</v>
      </c>
      <c r="G184" s="3">
        <v>0.5</v>
      </c>
      <c r="H184" s="3">
        <v>2.7</v>
      </c>
      <c r="I184" s="3">
        <v>1.4</v>
      </c>
    </row>
    <row r="185" spans="1:9">
      <c r="A185" t="s">
        <v>43</v>
      </c>
      <c r="B185" t="s">
        <v>5</v>
      </c>
      <c r="C185" t="s">
        <v>10</v>
      </c>
      <c r="D185">
        <v>201</v>
      </c>
      <c r="E185">
        <v>300</v>
      </c>
      <c r="F185" s="3">
        <v>555</v>
      </c>
      <c r="G185" s="3">
        <v>0.6</v>
      </c>
      <c r="H185" s="3">
        <v>1.9</v>
      </c>
      <c r="I185" s="3">
        <v>0.7</v>
      </c>
    </row>
    <row r="186" spans="1:9">
      <c r="A186" t="s">
        <v>43</v>
      </c>
      <c r="B186" t="s">
        <v>16</v>
      </c>
      <c r="C186" t="s">
        <v>10</v>
      </c>
      <c r="D186">
        <v>201</v>
      </c>
      <c r="E186">
        <v>300</v>
      </c>
      <c r="F186" s="3">
        <v>555</v>
      </c>
      <c r="G186" s="3">
        <v>0.5</v>
      </c>
      <c r="H186" s="3">
        <v>1.5</v>
      </c>
      <c r="I186" s="3">
        <v>0.7</v>
      </c>
    </row>
    <row r="187" spans="1:9">
      <c r="A187" t="s">
        <v>35</v>
      </c>
      <c r="B187" t="s">
        <v>15</v>
      </c>
      <c r="C187" t="s">
        <v>10</v>
      </c>
      <c r="D187">
        <v>201</v>
      </c>
      <c r="E187">
        <v>300</v>
      </c>
      <c r="F187" s="3">
        <v>555</v>
      </c>
      <c r="G187" s="3">
        <v>0.65</v>
      </c>
      <c r="H187" s="3">
        <v>2</v>
      </c>
      <c r="I187" s="3">
        <v>0.75</v>
      </c>
    </row>
    <row r="188" spans="1:9">
      <c r="A188" t="s">
        <v>35</v>
      </c>
      <c r="B188" t="s">
        <v>7</v>
      </c>
      <c r="C188" t="s">
        <v>10</v>
      </c>
      <c r="D188">
        <v>201</v>
      </c>
      <c r="E188">
        <v>300</v>
      </c>
      <c r="F188" s="3">
        <v>555</v>
      </c>
      <c r="G188" s="3">
        <v>0.65</v>
      </c>
      <c r="H188" s="3">
        <v>1.5</v>
      </c>
      <c r="I188" s="3">
        <v>0.75</v>
      </c>
    </row>
    <row r="189" spans="1:9">
      <c r="A189" t="s">
        <v>34</v>
      </c>
      <c r="B189" t="s">
        <v>13</v>
      </c>
      <c r="C189" t="s">
        <v>10</v>
      </c>
      <c r="D189">
        <v>201</v>
      </c>
      <c r="E189">
        <v>300</v>
      </c>
      <c r="F189" s="3">
        <v>555</v>
      </c>
      <c r="G189" s="3">
        <v>0.65</v>
      </c>
      <c r="H189" s="3">
        <v>2.2000000000000002</v>
      </c>
      <c r="I189" s="3">
        <v>0.9</v>
      </c>
    </row>
    <row r="190" spans="1:9">
      <c r="A190" t="s">
        <v>34</v>
      </c>
      <c r="B190" t="s">
        <v>14</v>
      </c>
      <c r="C190" t="s">
        <v>10</v>
      </c>
      <c r="D190">
        <v>201</v>
      </c>
      <c r="E190">
        <v>300</v>
      </c>
      <c r="F190" s="3">
        <v>555</v>
      </c>
      <c r="G190" s="3">
        <v>0.5</v>
      </c>
      <c r="H190" s="3">
        <v>1.3</v>
      </c>
      <c r="I190" s="3">
        <v>0.6</v>
      </c>
    </row>
    <row r="191" spans="1:9">
      <c r="A191" t="s">
        <v>30</v>
      </c>
      <c r="B191" t="s">
        <v>48</v>
      </c>
      <c r="C191" t="s">
        <v>10</v>
      </c>
      <c r="D191">
        <v>201</v>
      </c>
      <c r="E191">
        <v>300</v>
      </c>
      <c r="F191" s="3">
        <v>555</v>
      </c>
      <c r="G191" s="3">
        <v>0.55000000000000004</v>
      </c>
      <c r="H191" s="3">
        <v>1.95</v>
      </c>
      <c r="I191" s="3">
        <v>0.7</v>
      </c>
    </row>
    <row r="192" spans="1:9">
      <c r="A192" t="s">
        <v>47</v>
      </c>
      <c r="B192" t="s">
        <v>49</v>
      </c>
      <c r="C192" t="s">
        <v>10</v>
      </c>
      <c r="D192">
        <v>201</v>
      </c>
      <c r="E192">
        <v>300</v>
      </c>
      <c r="F192" s="3">
        <v>555</v>
      </c>
      <c r="G192" s="3">
        <v>0.4</v>
      </c>
      <c r="H192" s="3">
        <v>1</v>
      </c>
      <c r="I192" s="3">
        <v>0.5</v>
      </c>
    </row>
    <row r="193" spans="1:9">
      <c r="A193" t="s">
        <v>47</v>
      </c>
      <c r="B193" t="s">
        <v>50</v>
      </c>
      <c r="C193" t="s">
        <v>10</v>
      </c>
      <c r="D193">
        <v>201</v>
      </c>
      <c r="E193">
        <v>300</v>
      </c>
      <c r="F193" s="3">
        <v>555</v>
      </c>
      <c r="G193" s="3">
        <v>0.25</v>
      </c>
      <c r="H193" s="3">
        <v>0.8</v>
      </c>
      <c r="I193" s="3">
        <v>0.5</v>
      </c>
    </row>
    <row r="194" spans="1:9">
      <c r="A194" t="s">
        <v>43</v>
      </c>
      <c r="B194" t="s">
        <v>11</v>
      </c>
      <c r="C194" t="s">
        <v>8</v>
      </c>
      <c r="D194">
        <v>301</v>
      </c>
      <c r="E194">
        <v>9999</v>
      </c>
      <c r="F194" s="3">
        <v>415</v>
      </c>
      <c r="G194" s="3">
        <v>0.35</v>
      </c>
      <c r="H194" s="3">
        <v>2.2999999999999998</v>
      </c>
      <c r="I194" s="3">
        <v>1.05</v>
      </c>
    </row>
    <row r="195" spans="1:9">
      <c r="A195" t="s">
        <v>43</v>
      </c>
      <c r="B195" t="s">
        <v>9</v>
      </c>
      <c r="C195" t="s">
        <v>8</v>
      </c>
      <c r="D195">
        <v>301</v>
      </c>
      <c r="E195">
        <v>9999</v>
      </c>
      <c r="F195" s="3">
        <v>415</v>
      </c>
      <c r="G195" s="3">
        <v>0.5</v>
      </c>
      <c r="H195" s="3">
        <v>2</v>
      </c>
      <c r="I195" s="3">
        <v>0.8</v>
      </c>
    </row>
    <row r="196" spans="1:9">
      <c r="A196" t="s">
        <v>43</v>
      </c>
      <c r="B196" t="s">
        <v>17</v>
      </c>
      <c r="C196" t="s">
        <v>8</v>
      </c>
      <c r="D196">
        <v>301</v>
      </c>
      <c r="E196">
        <v>9999</v>
      </c>
      <c r="F196" s="3">
        <v>415</v>
      </c>
      <c r="G196" s="3">
        <v>0.5</v>
      </c>
      <c r="H196" s="3">
        <v>2.7</v>
      </c>
      <c r="I196" s="3">
        <v>1.4</v>
      </c>
    </row>
    <row r="197" spans="1:9">
      <c r="A197" t="s">
        <v>43</v>
      </c>
      <c r="B197" t="s">
        <v>5</v>
      </c>
      <c r="C197" t="s">
        <v>8</v>
      </c>
      <c r="D197">
        <v>301</v>
      </c>
      <c r="E197">
        <v>9999</v>
      </c>
      <c r="F197" s="3">
        <v>415</v>
      </c>
      <c r="G197" s="3">
        <v>0.6</v>
      </c>
      <c r="H197" s="3">
        <v>1.9</v>
      </c>
      <c r="I197" s="3">
        <v>0.7</v>
      </c>
    </row>
    <row r="198" spans="1:9">
      <c r="A198" t="s">
        <v>43</v>
      </c>
      <c r="B198" t="s">
        <v>16</v>
      </c>
      <c r="C198" t="s">
        <v>8</v>
      </c>
      <c r="D198">
        <v>301</v>
      </c>
      <c r="E198">
        <v>9999</v>
      </c>
      <c r="F198" s="3">
        <v>415</v>
      </c>
      <c r="G198" s="3">
        <v>0.5</v>
      </c>
      <c r="H198" s="3">
        <v>1.5</v>
      </c>
      <c r="I198" s="3">
        <v>0.7</v>
      </c>
    </row>
    <row r="199" spans="1:9">
      <c r="A199" t="s">
        <v>35</v>
      </c>
      <c r="B199" t="s">
        <v>15</v>
      </c>
      <c r="C199" t="s">
        <v>8</v>
      </c>
      <c r="D199">
        <v>301</v>
      </c>
      <c r="E199">
        <v>9999</v>
      </c>
      <c r="F199" s="3">
        <v>415</v>
      </c>
      <c r="G199" s="3">
        <v>0.65</v>
      </c>
      <c r="H199" s="3">
        <v>2</v>
      </c>
      <c r="I199" s="3">
        <v>0.75</v>
      </c>
    </row>
    <row r="200" spans="1:9">
      <c r="A200" t="s">
        <v>35</v>
      </c>
      <c r="B200" t="s">
        <v>7</v>
      </c>
      <c r="C200" t="s">
        <v>8</v>
      </c>
      <c r="D200">
        <v>301</v>
      </c>
      <c r="E200">
        <v>9999</v>
      </c>
      <c r="F200" s="3">
        <v>415</v>
      </c>
      <c r="G200" s="3">
        <v>0.65</v>
      </c>
      <c r="H200" s="3">
        <v>1.5</v>
      </c>
      <c r="I200" s="3">
        <v>0.75</v>
      </c>
    </row>
    <row r="201" spans="1:9">
      <c r="A201" t="s">
        <v>34</v>
      </c>
      <c r="B201" t="s">
        <v>13</v>
      </c>
      <c r="C201" t="s">
        <v>8</v>
      </c>
      <c r="D201">
        <v>301</v>
      </c>
      <c r="E201">
        <v>9999</v>
      </c>
      <c r="F201" s="3">
        <v>415</v>
      </c>
      <c r="G201" s="3">
        <v>0.65</v>
      </c>
      <c r="H201" s="3">
        <v>2.2000000000000002</v>
      </c>
      <c r="I201" s="3">
        <v>0.9</v>
      </c>
    </row>
    <row r="202" spans="1:9">
      <c r="A202" t="s">
        <v>34</v>
      </c>
      <c r="B202" t="s">
        <v>14</v>
      </c>
      <c r="C202" t="s">
        <v>8</v>
      </c>
      <c r="D202">
        <v>301</v>
      </c>
      <c r="E202">
        <v>9999</v>
      </c>
      <c r="F202" s="3">
        <v>415</v>
      </c>
      <c r="G202" s="3">
        <v>0.5</v>
      </c>
      <c r="H202" s="3">
        <v>1.3</v>
      </c>
      <c r="I202" s="3">
        <v>0.6</v>
      </c>
    </row>
    <row r="203" spans="1:9">
      <c r="A203" t="s">
        <v>30</v>
      </c>
      <c r="B203" t="s">
        <v>48</v>
      </c>
      <c r="C203" t="s">
        <v>8</v>
      </c>
      <c r="D203">
        <v>301</v>
      </c>
      <c r="E203">
        <v>9999</v>
      </c>
      <c r="F203" s="3">
        <v>415</v>
      </c>
      <c r="G203" s="3">
        <v>0.55000000000000004</v>
      </c>
      <c r="H203" s="3">
        <v>1.95</v>
      </c>
      <c r="I203" s="3">
        <v>0.7</v>
      </c>
    </row>
    <row r="204" spans="1:9">
      <c r="A204" t="s">
        <v>47</v>
      </c>
      <c r="B204" t="s">
        <v>49</v>
      </c>
      <c r="C204" t="s">
        <v>8</v>
      </c>
      <c r="D204">
        <v>301</v>
      </c>
      <c r="E204">
        <v>9999</v>
      </c>
      <c r="F204" s="3">
        <v>415</v>
      </c>
      <c r="G204" s="3">
        <v>0.4</v>
      </c>
      <c r="H204" s="3">
        <v>1</v>
      </c>
      <c r="I204" s="3">
        <v>0.5</v>
      </c>
    </row>
    <row r="205" spans="1:9">
      <c r="A205" t="s">
        <v>47</v>
      </c>
      <c r="B205" t="s">
        <v>50</v>
      </c>
      <c r="C205" t="s">
        <v>8</v>
      </c>
      <c r="D205">
        <v>301</v>
      </c>
      <c r="E205">
        <v>9999</v>
      </c>
      <c r="F205" s="3">
        <v>415</v>
      </c>
      <c r="G205" s="3">
        <v>0.25</v>
      </c>
      <c r="H205" s="3">
        <v>0.8</v>
      </c>
      <c r="I205" s="3">
        <v>0.5</v>
      </c>
    </row>
    <row r="206" spans="1:9">
      <c r="A206" t="s">
        <v>43</v>
      </c>
      <c r="B206" t="s">
        <v>11</v>
      </c>
      <c r="C206" t="s">
        <v>12</v>
      </c>
      <c r="D206">
        <v>301</v>
      </c>
      <c r="E206">
        <v>9999</v>
      </c>
      <c r="F206" s="3">
        <v>512</v>
      </c>
      <c r="G206" s="3">
        <v>0.35</v>
      </c>
      <c r="H206" s="3">
        <v>2.2999999999999998</v>
      </c>
      <c r="I206" s="3">
        <v>1.05</v>
      </c>
    </row>
    <row r="207" spans="1:9">
      <c r="A207" t="s">
        <v>43</v>
      </c>
      <c r="B207" t="s">
        <v>9</v>
      </c>
      <c r="C207" t="s">
        <v>12</v>
      </c>
      <c r="D207">
        <v>301</v>
      </c>
      <c r="E207">
        <v>9999</v>
      </c>
      <c r="F207" s="3">
        <v>512</v>
      </c>
      <c r="G207" s="3">
        <v>0.5</v>
      </c>
      <c r="H207" s="3">
        <v>2</v>
      </c>
      <c r="I207" s="3">
        <v>0.8</v>
      </c>
    </row>
    <row r="208" spans="1:9">
      <c r="A208" t="s">
        <v>43</v>
      </c>
      <c r="B208" t="s">
        <v>17</v>
      </c>
      <c r="C208" t="s">
        <v>12</v>
      </c>
      <c r="D208">
        <v>301</v>
      </c>
      <c r="E208">
        <v>9999</v>
      </c>
      <c r="F208" s="3">
        <v>512</v>
      </c>
      <c r="G208" s="3">
        <v>0.5</v>
      </c>
      <c r="H208" s="3">
        <v>2.7</v>
      </c>
      <c r="I208" s="3">
        <v>1.4</v>
      </c>
    </row>
    <row r="209" spans="1:9">
      <c r="A209" t="s">
        <v>43</v>
      </c>
      <c r="B209" t="s">
        <v>5</v>
      </c>
      <c r="C209" t="s">
        <v>12</v>
      </c>
      <c r="D209">
        <v>301</v>
      </c>
      <c r="E209">
        <v>9999</v>
      </c>
      <c r="F209" s="3">
        <v>512</v>
      </c>
      <c r="G209" s="3">
        <v>0.6</v>
      </c>
      <c r="H209" s="3">
        <v>1.9</v>
      </c>
      <c r="I209" s="3">
        <v>0.7</v>
      </c>
    </row>
    <row r="210" spans="1:9">
      <c r="A210" t="s">
        <v>43</v>
      </c>
      <c r="B210" t="s">
        <v>16</v>
      </c>
      <c r="C210" t="s">
        <v>12</v>
      </c>
      <c r="D210">
        <v>301</v>
      </c>
      <c r="E210">
        <v>9999</v>
      </c>
      <c r="F210" s="3">
        <v>512</v>
      </c>
      <c r="G210" s="3">
        <v>0.5</v>
      </c>
      <c r="H210" s="3">
        <v>1.5</v>
      </c>
      <c r="I210" s="3">
        <v>0.7</v>
      </c>
    </row>
    <row r="211" spans="1:9">
      <c r="A211" t="s">
        <v>35</v>
      </c>
      <c r="B211" t="s">
        <v>15</v>
      </c>
      <c r="C211" t="s">
        <v>12</v>
      </c>
      <c r="D211">
        <v>301</v>
      </c>
      <c r="E211">
        <v>9999</v>
      </c>
      <c r="F211" s="3">
        <v>512</v>
      </c>
      <c r="G211" s="3">
        <v>0.65</v>
      </c>
      <c r="H211" s="3">
        <v>2</v>
      </c>
      <c r="I211" s="3">
        <v>0.75</v>
      </c>
    </row>
    <row r="212" spans="1:9">
      <c r="A212" t="s">
        <v>35</v>
      </c>
      <c r="B212" t="s">
        <v>7</v>
      </c>
      <c r="C212" t="s">
        <v>12</v>
      </c>
      <c r="D212">
        <v>301</v>
      </c>
      <c r="E212">
        <v>9999</v>
      </c>
      <c r="F212" s="3">
        <v>512</v>
      </c>
      <c r="G212" s="3">
        <v>0.65</v>
      </c>
      <c r="H212" s="3">
        <v>1.5</v>
      </c>
      <c r="I212" s="3">
        <v>0.75</v>
      </c>
    </row>
    <row r="213" spans="1:9">
      <c r="A213" t="s">
        <v>34</v>
      </c>
      <c r="B213" t="s">
        <v>13</v>
      </c>
      <c r="C213" t="s">
        <v>12</v>
      </c>
      <c r="D213">
        <v>301</v>
      </c>
      <c r="E213">
        <v>9999</v>
      </c>
      <c r="F213" s="3">
        <v>512</v>
      </c>
      <c r="G213" s="3">
        <v>0.65</v>
      </c>
      <c r="H213" s="3">
        <v>2.2000000000000002</v>
      </c>
      <c r="I213" s="3">
        <v>0.9</v>
      </c>
    </row>
    <row r="214" spans="1:9">
      <c r="A214" t="s">
        <v>34</v>
      </c>
      <c r="B214" t="s">
        <v>14</v>
      </c>
      <c r="C214" t="s">
        <v>12</v>
      </c>
      <c r="D214">
        <v>301</v>
      </c>
      <c r="E214">
        <v>9999</v>
      </c>
      <c r="F214" s="3">
        <v>512</v>
      </c>
      <c r="G214" s="3">
        <v>0.5</v>
      </c>
      <c r="H214" s="3">
        <v>1.3</v>
      </c>
      <c r="I214" s="3">
        <v>0.6</v>
      </c>
    </row>
    <row r="215" spans="1:9">
      <c r="A215" t="s">
        <v>30</v>
      </c>
      <c r="B215" t="s">
        <v>48</v>
      </c>
      <c r="C215" t="s">
        <v>12</v>
      </c>
      <c r="D215">
        <v>301</v>
      </c>
      <c r="E215">
        <v>9999</v>
      </c>
      <c r="F215" s="3">
        <v>512</v>
      </c>
      <c r="G215" s="3">
        <v>0.55000000000000004</v>
      </c>
      <c r="H215" s="3">
        <v>1.95</v>
      </c>
      <c r="I215" s="3">
        <v>0.7</v>
      </c>
    </row>
    <row r="216" spans="1:9">
      <c r="A216" t="s">
        <v>47</v>
      </c>
      <c r="B216" t="s">
        <v>49</v>
      </c>
      <c r="C216" t="s">
        <v>12</v>
      </c>
      <c r="D216">
        <v>301</v>
      </c>
      <c r="E216">
        <v>9999</v>
      </c>
      <c r="F216" s="3">
        <v>512</v>
      </c>
      <c r="G216" s="3">
        <v>0.4</v>
      </c>
      <c r="H216" s="3">
        <v>1</v>
      </c>
      <c r="I216" s="3">
        <v>0.5</v>
      </c>
    </row>
    <row r="217" spans="1:9">
      <c r="A217" t="s">
        <v>47</v>
      </c>
      <c r="B217" t="s">
        <v>50</v>
      </c>
      <c r="C217" t="s">
        <v>12</v>
      </c>
      <c r="D217">
        <v>301</v>
      </c>
      <c r="E217">
        <v>9999</v>
      </c>
      <c r="F217" s="3">
        <v>512</v>
      </c>
      <c r="G217" s="3">
        <v>0.25</v>
      </c>
      <c r="H217" s="3">
        <v>0.8</v>
      </c>
      <c r="I217" s="3">
        <v>0.5</v>
      </c>
    </row>
    <row r="218" spans="1:9">
      <c r="A218" t="s">
        <v>43</v>
      </c>
      <c r="B218" t="s">
        <v>11</v>
      </c>
      <c r="C218" t="s">
        <v>6</v>
      </c>
      <c r="D218">
        <v>301</v>
      </c>
      <c r="E218">
        <v>9999</v>
      </c>
      <c r="F218" s="3">
        <v>564</v>
      </c>
      <c r="G218" s="3">
        <v>0.35</v>
      </c>
      <c r="H218" s="3">
        <v>2.2999999999999998</v>
      </c>
      <c r="I218" s="3">
        <v>1.05</v>
      </c>
    </row>
    <row r="219" spans="1:9">
      <c r="A219" t="s">
        <v>43</v>
      </c>
      <c r="B219" t="s">
        <v>9</v>
      </c>
      <c r="C219" t="s">
        <v>6</v>
      </c>
      <c r="D219">
        <v>301</v>
      </c>
      <c r="E219">
        <v>9999</v>
      </c>
      <c r="F219" s="3">
        <v>564</v>
      </c>
      <c r="G219" s="3">
        <v>0.5</v>
      </c>
      <c r="H219" s="3">
        <v>2</v>
      </c>
      <c r="I219" s="3">
        <v>0.8</v>
      </c>
    </row>
    <row r="220" spans="1:9">
      <c r="A220" t="s">
        <v>43</v>
      </c>
      <c r="B220" t="s">
        <v>17</v>
      </c>
      <c r="C220" t="s">
        <v>6</v>
      </c>
      <c r="D220">
        <v>301</v>
      </c>
      <c r="E220">
        <v>9999</v>
      </c>
      <c r="F220" s="3">
        <v>564</v>
      </c>
      <c r="G220" s="3">
        <v>0.5</v>
      </c>
      <c r="H220" s="3">
        <v>2.7</v>
      </c>
      <c r="I220" s="3">
        <v>1.4</v>
      </c>
    </row>
    <row r="221" spans="1:9">
      <c r="A221" t="s">
        <v>43</v>
      </c>
      <c r="B221" t="s">
        <v>5</v>
      </c>
      <c r="C221" t="s">
        <v>6</v>
      </c>
      <c r="D221">
        <v>301</v>
      </c>
      <c r="E221">
        <v>9999</v>
      </c>
      <c r="F221" s="3">
        <v>564</v>
      </c>
      <c r="G221" s="3">
        <v>0.6</v>
      </c>
      <c r="H221" s="3">
        <v>1.9</v>
      </c>
      <c r="I221" s="3">
        <v>0.7</v>
      </c>
    </row>
    <row r="222" spans="1:9">
      <c r="A222" t="s">
        <v>43</v>
      </c>
      <c r="B222" t="s">
        <v>16</v>
      </c>
      <c r="C222" t="s">
        <v>6</v>
      </c>
      <c r="D222">
        <v>301</v>
      </c>
      <c r="E222">
        <v>9999</v>
      </c>
      <c r="F222" s="3">
        <v>564</v>
      </c>
      <c r="G222" s="3">
        <v>0.5</v>
      </c>
      <c r="H222" s="3">
        <v>1.5</v>
      </c>
      <c r="I222" s="3">
        <v>0.7</v>
      </c>
    </row>
    <row r="223" spans="1:9">
      <c r="A223" t="s">
        <v>35</v>
      </c>
      <c r="B223" t="s">
        <v>15</v>
      </c>
      <c r="C223" t="s">
        <v>6</v>
      </c>
      <c r="D223">
        <v>301</v>
      </c>
      <c r="E223">
        <v>9999</v>
      </c>
      <c r="F223" s="3">
        <v>564</v>
      </c>
      <c r="G223" s="3">
        <v>0.65</v>
      </c>
      <c r="H223" s="3">
        <v>2</v>
      </c>
      <c r="I223" s="3">
        <v>0.75</v>
      </c>
    </row>
    <row r="224" spans="1:9">
      <c r="A224" t="s">
        <v>35</v>
      </c>
      <c r="B224" t="s">
        <v>7</v>
      </c>
      <c r="C224" t="s">
        <v>6</v>
      </c>
      <c r="D224">
        <v>301</v>
      </c>
      <c r="E224">
        <v>9999</v>
      </c>
      <c r="F224" s="3">
        <v>564</v>
      </c>
      <c r="G224" s="3">
        <v>0.65</v>
      </c>
      <c r="H224" s="3">
        <v>1.5</v>
      </c>
      <c r="I224" s="3">
        <v>0.75</v>
      </c>
    </row>
    <row r="225" spans="1:9">
      <c r="A225" t="s">
        <v>34</v>
      </c>
      <c r="B225" t="s">
        <v>13</v>
      </c>
      <c r="C225" t="s">
        <v>6</v>
      </c>
      <c r="D225">
        <v>301</v>
      </c>
      <c r="E225">
        <v>9999</v>
      </c>
      <c r="F225" s="3">
        <v>564</v>
      </c>
      <c r="G225" s="3">
        <v>0.65</v>
      </c>
      <c r="H225" s="3">
        <v>2.2000000000000002</v>
      </c>
      <c r="I225" s="3">
        <v>0.9</v>
      </c>
    </row>
    <row r="226" spans="1:9">
      <c r="A226" t="s">
        <v>34</v>
      </c>
      <c r="B226" t="s">
        <v>14</v>
      </c>
      <c r="C226" t="s">
        <v>6</v>
      </c>
      <c r="D226">
        <v>301</v>
      </c>
      <c r="E226">
        <v>9999</v>
      </c>
      <c r="F226" s="3">
        <v>564</v>
      </c>
      <c r="G226" s="3">
        <v>0.5</v>
      </c>
      <c r="H226" s="3">
        <v>1.3</v>
      </c>
      <c r="I226" s="3">
        <v>0.6</v>
      </c>
    </row>
    <row r="227" spans="1:9">
      <c r="A227" t="s">
        <v>30</v>
      </c>
      <c r="B227" t="s">
        <v>48</v>
      </c>
      <c r="C227" t="s">
        <v>6</v>
      </c>
      <c r="D227">
        <v>301</v>
      </c>
      <c r="E227">
        <v>9999</v>
      </c>
      <c r="F227" s="3">
        <v>564</v>
      </c>
      <c r="G227" s="3">
        <v>0.55000000000000004</v>
      </c>
      <c r="H227" s="3">
        <v>1.95</v>
      </c>
      <c r="I227" s="3">
        <v>0.7</v>
      </c>
    </row>
    <row r="228" spans="1:9">
      <c r="A228" t="s">
        <v>47</v>
      </c>
      <c r="B228" t="s">
        <v>49</v>
      </c>
      <c r="C228" t="s">
        <v>6</v>
      </c>
      <c r="D228">
        <v>301</v>
      </c>
      <c r="E228">
        <v>9999</v>
      </c>
      <c r="F228" s="3">
        <v>564</v>
      </c>
      <c r="G228" s="3">
        <v>0.4</v>
      </c>
      <c r="H228" s="3">
        <v>1</v>
      </c>
      <c r="I228" s="3">
        <v>0.5</v>
      </c>
    </row>
    <row r="229" spans="1:9">
      <c r="A229" t="s">
        <v>47</v>
      </c>
      <c r="B229" t="s">
        <v>50</v>
      </c>
      <c r="C229" t="s">
        <v>6</v>
      </c>
      <c r="D229">
        <v>301</v>
      </c>
      <c r="E229">
        <v>9999</v>
      </c>
      <c r="F229" s="3">
        <v>564</v>
      </c>
      <c r="G229" s="3">
        <v>0.25</v>
      </c>
      <c r="H229" s="3">
        <v>0.8</v>
      </c>
      <c r="I229" s="3">
        <v>0.5</v>
      </c>
    </row>
    <row r="230" spans="1:9">
      <c r="A230" t="s">
        <v>43</v>
      </c>
      <c r="B230" t="s">
        <v>11</v>
      </c>
      <c r="C230" t="s">
        <v>10</v>
      </c>
      <c r="D230">
        <v>301</v>
      </c>
      <c r="E230">
        <v>9999</v>
      </c>
      <c r="F230" s="3">
        <v>605</v>
      </c>
      <c r="G230" s="3">
        <v>0.35</v>
      </c>
      <c r="H230" s="3">
        <v>2.2999999999999998</v>
      </c>
      <c r="I230" s="3">
        <v>1.05</v>
      </c>
    </row>
    <row r="231" spans="1:9">
      <c r="A231" t="s">
        <v>43</v>
      </c>
      <c r="B231" t="s">
        <v>9</v>
      </c>
      <c r="C231" t="s">
        <v>10</v>
      </c>
      <c r="D231">
        <v>301</v>
      </c>
      <c r="E231">
        <v>9999</v>
      </c>
      <c r="F231" s="3">
        <v>605</v>
      </c>
      <c r="G231" s="3">
        <v>0.5</v>
      </c>
      <c r="H231" s="3">
        <v>2</v>
      </c>
      <c r="I231" s="3">
        <v>0.8</v>
      </c>
    </row>
    <row r="232" spans="1:9">
      <c r="A232" t="s">
        <v>43</v>
      </c>
      <c r="B232" t="s">
        <v>17</v>
      </c>
      <c r="C232" t="s">
        <v>10</v>
      </c>
      <c r="D232">
        <v>301</v>
      </c>
      <c r="E232">
        <v>9999</v>
      </c>
      <c r="F232" s="3">
        <v>605</v>
      </c>
      <c r="G232" s="3">
        <v>0.5</v>
      </c>
      <c r="H232" s="3">
        <v>2.7</v>
      </c>
      <c r="I232" s="3">
        <v>1.4</v>
      </c>
    </row>
    <row r="233" spans="1:9">
      <c r="A233" t="s">
        <v>43</v>
      </c>
      <c r="B233" t="s">
        <v>5</v>
      </c>
      <c r="C233" t="s">
        <v>10</v>
      </c>
      <c r="D233">
        <v>301</v>
      </c>
      <c r="E233">
        <v>9999</v>
      </c>
      <c r="F233" s="3">
        <v>605</v>
      </c>
      <c r="G233" s="3">
        <v>0.6</v>
      </c>
      <c r="H233" s="3">
        <v>1.9</v>
      </c>
      <c r="I233" s="3">
        <v>0.7</v>
      </c>
    </row>
    <row r="234" spans="1:9">
      <c r="A234" t="s">
        <v>43</v>
      </c>
      <c r="B234" t="s">
        <v>16</v>
      </c>
      <c r="C234" t="s">
        <v>10</v>
      </c>
      <c r="D234">
        <v>301</v>
      </c>
      <c r="E234">
        <v>9999</v>
      </c>
      <c r="F234" s="3">
        <v>605</v>
      </c>
      <c r="G234" s="3">
        <v>0.5</v>
      </c>
      <c r="H234" s="3">
        <v>1.5</v>
      </c>
      <c r="I234" s="3">
        <v>0.7</v>
      </c>
    </row>
    <row r="235" spans="1:9">
      <c r="A235" t="s">
        <v>35</v>
      </c>
      <c r="B235" t="s">
        <v>15</v>
      </c>
      <c r="C235" t="s">
        <v>10</v>
      </c>
      <c r="D235">
        <v>301</v>
      </c>
      <c r="E235">
        <v>9999</v>
      </c>
      <c r="F235" s="3">
        <v>605</v>
      </c>
      <c r="G235" s="3">
        <v>0.65</v>
      </c>
      <c r="H235" s="3">
        <v>2</v>
      </c>
      <c r="I235" s="3">
        <v>0.75</v>
      </c>
    </row>
    <row r="236" spans="1:9">
      <c r="A236" t="s">
        <v>35</v>
      </c>
      <c r="B236" t="s">
        <v>7</v>
      </c>
      <c r="C236" t="s">
        <v>10</v>
      </c>
      <c r="D236">
        <v>301</v>
      </c>
      <c r="E236">
        <v>9999</v>
      </c>
      <c r="F236" s="3">
        <v>605</v>
      </c>
      <c r="G236" s="3">
        <v>0.65</v>
      </c>
      <c r="H236" s="3">
        <v>1.5</v>
      </c>
      <c r="I236" s="3">
        <v>0.75</v>
      </c>
    </row>
    <row r="237" spans="1:9">
      <c r="A237" t="s">
        <v>34</v>
      </c>
      <c r="B237" t="s">
        <v>13</v>
      </c>
      <c r="C237" t="s">
        <v>10</v>
      </c>
      <c r="D237">
        <v>301</v>
      </c>
      <c r="E237">
        <v>9999</v>
      </c>
      <c r="F237" s="3">
        <v>605</v>
      </c>
      <c r="G237" s="3">
        <v>0.65</v>
      </c>
      <c r="H237" s="3">
        <v>2.2000000000000002</v>
      </c>
      <c r="I237" s="3">
        <v>0.9</v>
      </c>
    </row>
    <row r="238" spans="1:9">
      <c r="A238" t="s">
        <v>34</v>
      </c>
      <c r="B238" t="s">
        <v>14</v>
      </c>
      <c r="C238" t="s">
        <v>10</v>
      </c>
      <c r="D238">
        <v>301</v>
      </c>
      <c r="E238">
        <v>9999</v>
      </c>
      <c r="F238" s="3">
        <v>605</v>
      </c>
      <c r="G238" s="3">
        <v>0.5</v>
      </c>
      <c r="H238" s="3">
        <v>1.3</v>
      </c>
      <c r="I238" s="3">
        <v>0.6</v>
      </c>
    </row>
    <row r="239" spans="1:9">
      <c r="A239" t="s">
        <v>30</v>
      </c>
      <c r="B239" t="s">
        <v>48</v>
      </c>
      <c r="C239" t="s">
        <v>10</v>
      </c>
      <c r="D239">
        <v>301</v>
      </c>
      <c r="E239">
        <v>9999</v>
      </c>
      <c r="F239" s="3">
        <v>605</v>
      </c>
      <c r="G239" s="3">
        <v>0.55000000000000004</v>
      </c>
      <c r="H239" s="3">
        <v>1.95</v>
      </c>
      <c r="I239" s="3">
        <v>0.7</v>
      </c>
    </row>
    <row r="240" spans="1:9">
      <c r="A240" t="s">
        <v>47</v>
      </c>
      <c r="B240" t="s">
        <v>49</v>
      </c>
      <c r="C240" t="s">
        <v>10</v>
      </c>
      <c r="D240">
        <v>301</v>
      </c>
      <c r="E240">
        <v>9999</v>
      </c>
      <c r="F240" s="3">
        <v>605</v>
      </c>
      <c r="G240" s="3">
        <v>0.4</v>
      </c>
      <c r="H240" s="3">
        <v>1</v>
      </c>
      <c r="I240" s="3">
        <v>0.5</v>
      </c>
    </row>
    <row r="241" spans="1:9">
      <c r="A241" t="s">
        <v>47</v>
      </c>
      <c r="B241" t="s">
        <v>50</v>
      </c>
      <c r="C241" t="s">
        <v>10</v>
      </c>
      <c r="D241">
        <v>301</v>
      </c>
      <c r="E241">
        <v>9999</v>
      </c>
      <c r="F241" s="3">
        <v>605</v>
      </c>
      <c r="G241" s="3">
        <v>0.25</v>
      </c>
      <c r="H241" s="3">
        <v>0.8</v>
      </c>
      <c r="I241" s="3">
        <v>0.5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07D9-54E4-4E91-91A2-F6A75F099433}">
  <dimension ref="A1:E21"/>
  <sheetViews>
    <sheetView zoomScaleNormal="100" workbookViewId="0">
      <pane ySplit="1" topLeftCell="A2" activePane="bottomLeft" state="frozen"/>
      <selection pane="bottomLeft" sqref="A1:E21"/>
    </sheetView>
  </sheetViews>
  <sheetFormatPr defaultRowHeight="15.6"/>
  <cols>
    <col min="1" max="1" width="9.09765625" bestFit="1" customWidth="1"/>
    <col min="2" max="2" width="8.8984375" bestFit="1" customWidth="1"/>
    <col min="3" max="3" width="9.19921875" bestFit="1" customWidth="1"/>
    <col min="4" max="4" width="11.09765625" bestFit="1" customWidth="1"/>
    <col min="5" max="5" width="8" hidden="1" customWidth="1"/>
    <col min="6" max="6" width="9.09765625" bestFit="1" customWidth="1"/>
    <col min="7" max="7" width="11.296875" bestFit="1" customWidth="1"/>
    <col min="8" max="8" width="8" bestFit="1" customWidth="1"/>
    <col min="9" max="9" width="9.09765625" bestFit="1" customWidth="1"/>
    <col min="10" max="10" width="11.296875" customWidth="1"/>
    <col min="11" max="11" width="10.296875" bestFit="1" customWidth="1"/>
    <col min="12" max="12" width="11.296875" customWidth="1"/>
    <col min="13" max="13" width="13.19921875" bestFit="1" customWidth="1"/>
  </cols>
  <sheetData>
    <row r="1" spans="1:5">
      <c r="A1" t="s">
        <v>39</v>
      </c>
      <c r="B1" t="s">
        <v>37</v>
      </c>
      <c r="C1" t="s">
        <v>38</v>
      </c>
      <c r="D1" t="s">
        <v>52</v>
      </c>
      <c r="E1" t="s">
        <v>51</v>
      </c>
    </row>
    <row r="2" spans="1:5">
      <c r="A2" t="s">
        <v>8</v>
      </c>
      <c r="B2">
        <v>1</v>
      </c>
      <c r="C2">
        <v>100</v>
      </c>
      <c r="D2">
        <v>255</v>
      </c>
      <c r="E2">
        <v>1</v>
      </c>
    </row>
    <row r="3" spans="1:5">
      <c r="A3" t="s">
        <v>12</v>
      </c>
      <c r="B3">
        <v>1</v>
      </c>
      <c r="C3">
        <v>100</v>
      </c>
      <c r="D3">
        <v>320</v>
      </c>
      <c r="E3">
        <v>1</v>
      </c>
    </row>
    <row r="4" spans="1:5">
      <c r="A4" t="s">
        <v>6</v>
      </c>
      <c r="B4">
        <v>1</v>
      </c>
      <c r="C4">
        <v>100</v>
      </c>
      <c r="D4">
        <v>352</v>
      </c>
      <c r="E4">
        <v>1</v>
      </c>
    </row>
    <row r="5" spans="1:5">
      <c r="A5" t="s">
        <v>10</v>
      </c>
      <c r="B5">
        <v>1</v>
      </c>
      <c r="C5">
        <v>100</v>
      </c>
      <c r="D5">
        <v>405</v>
      </c>
      <c r="E5">
        <v>1</v>
      </c>
    </row>
    <row r="6" spans="1:5">
      <c r="A6" t="s">
        <v>8</v>
      </c>
      <c r="B6">
        <v>101</v>
      </c>
      <c r="C6">
        <v>150</v>
      </c>
      <c r="D6">
        <v>295</v>
      </c>
      <c r="E6">
        <v>1</v>
      </c>
    </row>
    <row r="7" spans="1:5">
      <c r="A7" t="s">
        <v>12</v>
      </c>
      <c r="B7">
        <v>101</v>
      </c>
      <c r="C7">
        <v>150</v>
      </c>
      <c r="D7">
        <v>368</v>
      </c>
      <c r="E7">
        <v>1</v>
      </c>
    </row>
    <row r="8" spans="1:5">
      <c r="A8" t="s">
        <v>6</v>
      </c>
      <c r="B8">
        <v>101</v>
      </c>
      <c r="C8">
        <v>150</v>
      </c>
      <c r="D8">
        <v>405</v>
      </c>
      <c r="E8">
        <v>1</v>
      </c>
    </row>
    <row r="9" spans="1:5">
      <c r="A9" t="s">
        <v>10</v>
      </c>
      <c r="B9">
        <v>101</v>
      </c>
      <c r="C9">
        <v>150</v>
      </c>
      <c r="D9">
        <v>455</v>
      </c>
      <c r="E9">
        <v>1</v>
      </c>
    </row>
    <row r="10" spans="1:5">
      <c r="A10" t="s">
        <v>8</v>
      </c>
      <c r="B10">
        <v>151</v>
      </c>
      <c r="C10">
        <v>200</v>
      </c>
      <c r="D10">
        <v>335</v>
      </c>
      <c r="E10">
        <v>1</v>
      </c>
    </row>
    <row r="11" spans="1:5">
      <c r="A11" t="s">
        <v>12</v>
      </c>
      <c r="B11">
        <v>151</v>
      </c>
      <c r="C11">
        <v>200</v>
      </c>
      <c r="D11">
        <v>416</v>
      </c>
      <c r="E11">
        <v>1</v>
      </c>
    </row>
    <row r="12" spans="1:5">
      <c r="A12" t="s">
        <v>6</v>
      </c>
      <c r="B12">
        <v>151</v>
      </c>
      <c r="C12">
        <v>200</v>
      </c>
      <c r="D12">
        <v>458</v>
      </c>
      <c r="E12">
        <v>1</v>
      </c>
    </row>
    <row r="13" spans="1:5">
      <c r="A13" t="s">
        <v>10</v>
      </c>
      <c r="B13">
        <v>151</v>
      </c>
      <c r="C13">
        <v>200</v>
      </c>
      <c r="D13">
        <v>505</v>
      </c>
      <c r="E13">
        <v>1</v>
      </c>
    </row>
    <row r="14" spans="1:5">
      <c r="A14" t="s">
        <v>8</v>
      </c>
      <c r="B14">
        <v>201</v>
      </c>
      <c r="C14">
        <v>300</v>
      </c>
      <c r="D14">
        <v>375</v>
      </c>
      <c r="E14">
        <v>1</v>
      </c>
    </row>
    <row r="15" spans="1:5">
      <c r="A15" t="s">
        <v>12</v>
      </c>
      <c r="B15">
        <v>201</v>
      </c>
      <c r="C15">
        <v>300</v>
      </c>
      <c r="D15">
        <v>464</v>
      </c>
      <c r="E15">
        <v>1</v>
      </c>
    </row>
    <row r="16" spans="1:5">
      <c r="A16" t="s">
        <v>6</v>
      </c>
      <c r="B16">
        <v>201</v>
      </c>
      <c r="C16">
        <v>300</v>
      </c>
      <c r="D16">
        <v>511</v>
      </c>
      <c r="E16">
        <v>1</v>
      </c>
    </row>
    <row r="17" spans="1:5">
      <c r="A17" t="s">
        <v>10</v>
      </c>
      <c r="B17">
        <v>201</v>
      </c>
      <c r="C17">
        <v>300</v>
      </c>
      <c r="D17">
        <v>555</v>
      </c>
      <c r="E17">
        <v>1</v>
      </c>
    </row>
    <row r="18" spans="1:5">
      <c r="A18" t="s">
        <v>8</v>
      </c>
      <c r="B18">
        <v>301</v>
      </c>
      <c r="C18">
        <v>9999</v>
      </c>
      <c r="D18">
        <v>415</v>
      </c>
      <c r="E18">
        <v>1</v>
      </c>
    </row>
    <row r="19" spans="1:5">
      <c r="A19" t="s">
        <v>12</v>
      </c>
      <c r="B19">
        <v>301</v>
      </c>
      <c r="C19">
        <v>9999</v>
      </c>
      <c r="D19">
        <v>512</v>
      </c>
      <c r="E19">
        <v>1</v>
      </c>
    </row>
    <row r="20" spans="1:5">
      <c r="A20" t="s">
        <v>6</v>
      </c>
      <c r="B20">
        <v>301</v>
      </c>
      <c r="C20">
        <v>9999</v>
      </c>
      <c r="D20">
        <v>564</v>
      </c>
      <c r="E20">
        <v>1</v>
      </c>
    </row>
    <row r="21" spans="1:5">
      <c r="A21" t="s">
        <v>10</v>
      </c>
      <c r="B21">
        <v>301</v>
      </c>
      <c r="C21">
        <v>9999</v>
      </c>
      <c r="D21">
        <v>605</v>
      </c>
      <c r="E21">
        <v>1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800A-C5C2-4724-943F-94FD34181EDC}">
  <dimension ref="A1:F13"/>
  <sheetViews>
    <sheetView zoomScaleNormal="100" workbookViewId="0">
      <pane ySplit="1" topLeftCell="A2" activePane="bottomLeft" state="frozen"/>
      <selection pane="bottomLeft" activeCell="H20" sqref="H20"/>
    </sheetView>
  </sheetViews>
  <sheetFormatPr defaultRowHeight="15.6"/>
  <cols>
    <col min="1" max="1" width="13.796875" bestFit="1" customWidth="1"/>
    <col min="2" max="2" width="19" bestFit="1" customWidth="1"/>
    <col min="3" max="3" width="10.296875" bestFit="1" customWidth="1"/>
    <col min="4" max="4" width="11.296875" bestFit="1" customWidth="1"/>
    <col min="5" max="5" width="13.19921875" bestFit="1" customWidth="1"/>
    <col min="6" max="6" width="8" hidden="1" customWidth="1"/>
    <col min="7" max="7" width="13.19921875" bestFit="1" customWidth="1"/>
    <col min="8" max="8" width="8" bestFit="1" customWidth="1"/>
    <col min="9" max="9" width="6.5" bestFit="1" customWidth="1"/>
    <col min="10" max="10" width="7.5" bestFit="1" customWidth="1"/>
    <col min="11" max="11" width="5.8984375" bestFit="1" customWidth="1"/>
  </cols>
  <sheetData>
    <row r="1" spans="1:6">
      <c r="A1" t="s">
        <v>54</v>
      </c>
      <c r="B1" t="s">
        <v>1</v>
      </c>
      <c r="C1" t="s">
        <v>41</v>
      </c>
      <c r="D1" t="s">
        <v>42</v>
      </c>
      <c r="E1" t="s">
        <v>44</v>
      </c>
      <c r="F1" t="s">
        <v>51</v>
      </c>
    </row>
    <row r="2" spans="1:6">
      <c r="A2" t="s">
        <v>43</v>
      </c>
      <c r="B2" t="s">
        <v>11</v>
      </c>
      <c r="C2" s="3">
        <v>0.35</v>
      </c>
      <c r="D2" s="3">
        <v>2.2999999999999998</v>
      </c>
      <c r="E2" s="3">
        <v>1.05</v>
      </c>
      <c r="F2">
        <v>1</v>
      </c>
    </row>
    <row r="3" spans="1:6">
      <c r="A3" t="s">
        <v>43</v>
      </c>
      <c r="B3" t="s">
        <v>9</v>
      </c>
      <c r="C3" s="3">
        <v>0.5</v>
      </c>
      <c r="D3" s="3">
        <v>2</v>
      </c>
      <c r="E3" s="3">
        <v>0.8</v>
      </c>
      <c r="F3">
        <v>1</v>
      </c>
    </row>
    <row r="4" spans="1:6">
      <c r="A4" t="s">
        <v>43</v>
      </c>
      <c r="B4" t="s">
        <v>17</v>
      </c>
      <c r="C4" s="3">
        <v>0.5</v>
      </c>
      <c r="D4" s="3">
        <v>2.7</v>
      </c>
      <c r="E4" s="3">
        <v>1.4</v>
      </c>
      <c r="F4">
        <v>1</v>
      </c>
    </row>
    <row r="5" spans="1:6">
      <c r="A5" t="s">
        <v>43</v>
      </c>
      <c r="B5" t="s">
        <v>5</v>
      </c>
      <c r="C5" s="3">
        <v>0.6</v>
      </c>
      <c r="D5" s="3">
        <v>1.9</v>
      </c>
      <c r="E5" s="3">
        <v>0.7</v>
      </c>
      <c r="F5">
        <v>1</v>
      </c>
    </row>
    <row r="6" spans="1:6">
      <c r="A6" t="s">
        <v>43</v>
      </c>
      <c r="B6" t="s">
        <v>16</v>
      </c>
      <c r="C6" s="3">
        <v>0.5</v>
      </c>
      <c r="D6" s="3">
        <v>1.5</v>
      </c>
      <c r="E6" s="3">
        <v>0.7</v>
      </c>
      <c r="F6">
        <v>1</v>
      </c>
    </row>
    <row r="7" spans="1:6">
      <c r="A7" t="s">
        <v>35</v>
      </c>
      <c r="B7" t="s">
        <v>15</v>
      </c>
      <c r="C7" s="3">
        <v>0.65</v>
      </c>
      <c r="D7" s="3">
        <v>2</v>
      </c>
      <c r="E7" s="3">
        <v>0.75</v>
      </c>
      <c r="F7">
        <v>1</v>
      </c>
    </row>
    <row r="8" spans="1:6">
      <c r="A8" t="s">
        <v>35</v>
      </c>
      <c r="B8" t="s">
        <v>7</v>
      </c>
      <c r="C8" s="3">
        <v>0.65</v>
      </c>
      <c r="D8" s="3">
        <v>1.5</v>
      </c>
      <c r="E8" s="3">
        <v>0.75</v>
      </c>
      <c r="F8">
        <v>1</v>
      </c>
    </row>
    <row r="9" spans="1:6">
      <c r="A9" t="s">
        <v>34</v>
      </c>
      <c r="B9" t="s">
        <v>13</v>
      </c>
      <c r="C9" s="3">
        <v>0.65</v>
      </c>
      <c r="D9" s="3">
        <v>2.2000000000000002</v>
      </c>
      <c r="E9" s="3">
        <v>0.9</v>
      </c>
      <c r="F9">
        <v>1</v>
      </c>
    </row>
    <row r="10" spans="1:6">
      <c r="A10" t="s">
        <v>34</v>
      </c>
      <c r="B10" t="s">
        <v>14</v>
      </c>
      <c r="C10" s="3">
        <v>0.5</v>
      </c>
      <c r="D10" s="3">
        <v>1.3</v>
      </c>
      <c r="E10" s="3">
        <v>0.6</v>
      </c>
      <c r="F10">
        <v>1</v>
      </c>
    </row>
    <row r="11" spans="1:6">
      <c r="A11" t="s">
        <v>30</v>
      </c>
      <c r="B11" t="s">
        <v>48</v>
      </c>
      <c r="C11" s="3">
        <v>0.55000000000000004</v>
      </c>
      <c r="D11" s="3">
        <v>1.95</v>
      </c>
      <c r="E11" s="3">
        <v>0.7</v>
      </c>
      <c r="F11">
        <v>1</v>
      </c>
    </row>
    <row r="12" spans="1:6">
      <c r="A12" t="s">
        <v>47</v>
      </c>
      <c r="B12" t="s">
        <v>49</v>
      </c>
      <c r="C12" s="3">
        <v>0.4</v>
      </c>
      <c r="D12" s="3">
        <v>1</v>
      </c>
      <c r="E12" s="3">
        <v>0.5</v>
      </c>
      <c r="F12">
        <v>1</v>
      </c>
    </row>
    <row r="13" spans="1:6">
      <c r="A13" t="s">
        <v>47</v>
      </c>
      <c r="B13" t="s">
        <v>50</v>
      </c>
      <c r="C13" s="3">
        <v>0.25</v>
      </c>
      <c r="D13" s="3">
        <v>0.8</v>
      </c>
      <c r="E13" s="3">
        <v>0.5</v>
      </c>
      <c r="F13">
        <v>1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2BCD-A83D-44A4-A21E-24C46FC1F182}">
  <dimension ref="A1:B13"/>
  <sheetViews>
    <sheetView workbookViewId="0">
      <selection activeCell="B20" sqref="B20"/>
    </sheetView>
  </sheetViews>
  <sheetFormatPr defaultRowHeight="15.6"/>
  <cols>
    <col min="1" max="1" width="20" customWidth="1"/>
    <col min="2" max="2" width="10.796875" bestFit="1" customWidth="1"/>
  </cols>
  <sheetData>
    <row r="1" spans="1:2">
      <c r="A1" s="1" t="s">
        <v>55</v>
      </c>
      <c r="B1" s="1" t="s">
        <v>56</v>
      </c>
    </row>
    <row r="2" spans="1:2">
      <c r="A2" s="64" t="str" cm="1">
        <f t="array" ref="A2:A13">_xlfn._xlws.SORT(_xlfn.UNIQUE(Tabela_Final[Região]))</f>
        <v>Centro-Oeste Capital</v>
      </c>
      <c r="B2" s="64" t="str" cm="1">
        <f t="array" ref="B2:B5">_xlfn._xlws.SORT(_xlfn.UNIQUE(Tabela_Final[Veículo]))</f>
        <v>Risco</v>
      </c>
    </row>
    <row r="3" spans="1:2">
      <c r="A3" s="64" t="str">
        <v>Centro-Oeste Interior</v>
      </c>
      <c r="B3" s="64" t="str">
        <v>Utilitário</v>
      </c>
    </row>
    <row r="4" spans="1:2">
      <c r="A4" s="64" t="str">
        <v>Nordeste Capital</v>
      </c>
      <c r="B4" s="64" t="str">
        <v>Van</v>
      </c>
    </row>
    <row r="5" spans="1:2">
      <c r="A5" s="64" t="str">
        <v>Nordeste interior</v>
      </c>
      <c r="B5" s="64" t="str">
        <v>Vuc</v>
      </c>
    </row>
    <row r="6" spans="1:2">
      <c r="A6" s="64" t="str">
        <v>Norte Capital</v>
      </c>
      <c r="B6" s="65"/>
    </row>
    <row r="7" spans="1:2">
      <c r="A7" s="64" t="str">
        <v>SP Capital</v>
      </c>
      <c r="B7" s="65"/>
    </row>
    <row r="8" spans="1:2">
      <c r="A8" s="64" t="str">
        <v>SP Interior 1</v>
      </c>
      <c r="B8" s="65"/>
    </row>
    <row r="9" spans="1:2">
      <c r="A9" s="64" t="str">
        <v>SP Interior 2</v>
      </c>
      <c r="B9" s="65"/>
    </row>
    <row r="10" spans="1:2">
      <c r="A10" s="64" t="str">
        <v>Sudeste Capital</v>
      </c>
      <c r="B10" s="65"/>
    </row>
    <row r="11" spans="1:2">
      <c r="A11" s="64" t="str">
        <v>Sudeste Interior</v>
      </c>
      <c r="B11" s="65"/>
    </row>
    <row r="12" spans="1:2">
      <c r="A12" s="64" t="str">
        <v>Sul Capital</v>
      </c>
      <c r="B12" s="65"/>
    </row>
    <row r="13" spans="1:2">
      <c r="A13" s="64" t="str">
        <v>Sul Interior</v>
      </c>
      <c r="B13" s="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0206-9887-4B42-9167-7DCA589E5E1F}">
  <dimension ref="A1:L19"/>
  <sheetViews>
    <sheetView zoomScale="85" zoomScaleNormal="85" workbookViewId="0">
      <selection activeCell="G10" sqref="G10"/>
    </sheetView>
  </sheetViews>
  <sheetFormatPr defaultColWidth="16.69921875" defaultRowHeight="15.6"/>
  <cols>
    <col min="9" max="9" width="18.296875" customWidth="1"/>
  </cols>
  <sheetData>
    <row r="1" spans="1:12">
      <c r="A1" s="54" t="s">
        <v>46</v>
      </c>
      <c r="B1" s="49" t="s">
        <v>45</v>
      </c>
      <c r="C1" s="49" t="s">
        <v>8</v>
      </c>
      <c r="D1" s="50" t="s">
        <v>12</v>
      </c>
      <c r="E1" s="49" t="s">
        <v>6</v>
      </c>
      <c r="F1" s="55" t="s">
        <v>10</v>
      </c>
      <c r="G1" s="3"/>
      <c r="H1" s="54" t="s">
        <v>54</v>
      </c>
      <c r="I1" s="49" t="s">
        <v>1</v>
      </c>
      <c r="J1" s="49" t="s">
        <v>22</v>
      </c>
      <c r="K1" s="49" t="s">
        <v>23</v>
      </c>
      <c r="L1" s="51" t="s">
        <v>24</v>
      </c>
    </row>
    <row r="2" spans="1:12">
      <c r="A2" s="53">
        <v>1</v>
      </c>
      <c r="B2" s="39">
        <v>100</v>
      </c>
      <c r="C2" s="42">
        <v>255</v>
      </c>
      <c r="D2" s="42">
        <v>320</v>
      </c>
      <c r="E2" s="42">
        <v>352</v>
      </c>
      <c r="F2" s="48">
        <v>405</v>
      </c>
      <c r="G2" s="3"/>
      <c r="H2" s="58" t="s">
        <v>43</v>
      </c>
      <c r="I2" s="41" t="s">
        <v>11</v>
      </c>
      <c r="J2" s="43">
        <v>0.35</v>
      </c>
      <c r="K2" s="43">
        <v>2.2999999999999998</v>
      </c>
      <c r="L2" s="44">
        <v>1.05</v>
      </c>
    </row>
    <row r="3" spans="1:12">
      <c r="A3" s="53">
        <v>101</v>
      </c>
      <c r="B3" s="39">
        <v>150</v>
      </c>
      <c r="C3" s="42">
        <v>295</v>
      </c>
      <c r="D3" s="42">
        <v>368</v>
      </c>
      <c r="E3" s="42">
        <v>405</v>
      </c>
      <c r="F3" s="48">
        <v>455</v>
      </c>
      <c r="G3" s="3"/>
      <c r="H3" s="58" t="s">
        <v>43</v>
      </c>
      <c r="I3" s="41" t="s">
        <v>9</v>
      </c>
      <c r="J3" s="43">
        <v>0.5</v>
      </c>
      <c r="K3" s="43">
        <v>2</v>
      </c>
      <c r="L3" s="44">
        <v>0.8</v>
      </c>
    </row>
    <row r="4" spans="1:12">
      <c r="A4" s="53">
        <v>151</v>
      </c>
      <c r="B4" s="39">
        <v>200</v>
      </c>
      <c r="C4" s="42">
        <v>335</v>
      </c>
      <c r="D4" s="42">
        <v>416</v>
      </c>
      <c r="E4" s="42">
        <v>458</v>
      </c>
      <c r="F4" s="48">
        <v>505</v>
      </c>
      <c r="G4" s="3"/>
      <c r="H4" s="58" t="s">
        <v>43</v>
      </c>
      <c r="I4" s="41" t="s">
        <v>17</v>
      </c>
      <c r="J4" s="43">
        <v>0.5</v>
      </c>
      <c r="K4" s="43">
        <v>2.7</v>
      </c>
      <c r="L4" s="44">
        <v>1.4</v>
      </c>
    </row>
    <row r="5" spans="1:12">
      <c r="A5" s="53">
        <v>201</v>
      </c>
      <c r="B5" s="39">
        <v>300</v>
      </c>
      <c r="C5" s="42">
        <v>375</v>
      </c>
      <c r="D5" s="42">
        <v>464</v>
      </c>
      <c r="E5" s="42">
        <v>511</v>
      </c>
      <c r="F5" s="48">
        <v>555</v>
      </c>
      <c r="G5" s="3"/>
      <c r="H5" s="58" t="s">
        <v>43</v>
      </c>
      <c r="I5" s="41" t="s">
        <v>5</v>
      </c>
      <c r="J5" s="43">
        <v>0.6</v>
      </c>
      <c r="K5" s="43">
        <v>1.9</v>
      </c>
      <c r="L5" s="44">
        <v>0.7</v>
      </c>
    </row>
    <row r="6" spans="1:12">
      <c r="A6" s="56">
        <v>301</v>
      </c>
      <c r="B6" s="45">
        <v>9999</v>
      </c>
      <c r="C6" s="46">
        <v>415</v>
      </c>
      <c r="D6" s="46">
        <v>512</v>
      </c>
      <c r="E6" s="46">
        <v>564</v>
      </c>
      <c r="F6" s="57">
        <v>605</v>
      </c>
      <c r="G6" s="3"/>
      <c r="H6" s="58" t="s">
        <v>43</v>
      </c>
      <c r="I6" s="41" t="s">
        <v>16</v>
      </c>
      <c r="J6" s="43">
        <v>0.5</v>
      </c>
      <c r="K6" s="43">
        <v>1.5</v>
      </c>
      <c r="L6" s="44">
        <v>0.7</v>
      </c>
    </row>
    <row r="7" spans="1:12">
      <c r="B7" s="47"/>
      <c r="C7" s="47"/>
      <c r="D7" s="3"/>
      <c r="E7" s="3"/>
      <c r="F7" s="3"/>
      <c r="G7" s="3"/>
      <c r="H7" s="59" t="s">
        <v>35</v>
      </c>
      <c r="I7" s="38" t="s">
        <v>15</v>
      </c>
      <c r="J7" s="43">
        <v>0.65</v>
      </c>
      <c r="K7" s="43">
        <v>2</v>
      </c>
      <c r="L7" s="44">
        <v>0.75</v>
      </c>
    </row>
    <row r="8" spans="1:12">
      <c r="A8" s="52"/>
      <c r="B8" s="52"/>
      <c r="C8" s="52"/>
      <c r="D8" s="52"/>
      <c r="E8" s="52"/>
      <c r="F8" s="3"/>
      <c r="G8" s="3"/>
      <c r="H8" s="59" t="s">
        <v>35</v>
      </c>
      <c r="I8" s="38" t="s">
        <v>7</v>
      </c>
      <c r="J8" s="43">
        <v>0.65</v>
      </c>
      <c r="K8" s="43">
        <v>1.5</v>
      </c>
      <c r="L8" s="44">
        <v>0.75</v>
      </c>
    </row>
    <row r="9" spans="1:12">
      <c r="B9" s="3"/>
      <c r="D9" s="3"/>
      <c r="E9" s="3"/>
      <c r="F9" s="3"/>
      <c r="G9" s="3"/>
      <c r="H9" s="59" t="s">
        <v>34</v>
      </c>
      <c r="I9" s="38" t="s">
        <v>13</v>
      </c>
      <c r="J9" s="43">
        <v>0.65</v>
      </c>
      <c r="K9" s="43">
        <v>2.2000000000000002</v>
      </c>
      <c r="L9" s="44">
        <v>0.9</v>
      </c>
    </row>
    <row r="10" spans="1:12">
      <c r="B10" s="3"/>
      <c r="D10" s="3"/>
      <c r="E10" s="3"/>
      <c r="F10" s="3"/>
      <c r="G10" s="3"/>
      <c r="H10" s="59" t="s">
        <v>34</v>
      </c>
      <c r="I10" s="38" t="s">
        <v>14</v>
      </c>
      <c r="J10" s="43">
        <v>0.5</v>
      </c>
      <c r="K10" s="43">
        <v>1.3</v>
      </c>
      <c r="L10" s="44">
        <v>0.6</v>
      </c>
    </row>
    <row r="11" spans="1:12">
      <c r="B11" s="47"/>
      <c r="D11" s="3"/>
      <c r="E11" s="3"/>
      <c r="F11" s="3"/>
      <c r="G11" s="3"/>
      <c r="H11" s="59" t="s">
        <v>30</v>
      </c>
      <c r="I11" s="38" t="s">
        <v>48</v>
      </c>
      <c r="J11" s="43">
        <v>0.55000000000000004</v>
      </c>
      <c r="K11" s="43">
        <v>1.95</v>
      </c>
      <c r="L11" s="44">
        <v>0.7</v>
      </c>
    </row>
    <row r="12" spans="1:12">
      <c r="B12" s="47"/>
      <c r="D12" s="3"/>
      <c r="E12" s="3"/>
      <c r="F12" s="3"/>
      <c r="H12" s="59" t="s">
        <v>47</v>
      </c>
      <c r="I12" s="38" t="s">
        <v>49</v>
      </c>
      <c r="J12" s="43">
        <v>0.4</v>
      </c>
      <c r="K12" s="43">
        <v>1</v>
      </c>
      <c r="L12" s="44">
        <v>0.5</v>
      </c>
    </row>
    <row r="13" spans="1:12">
      <c r="B13" s="47"/>
      <c r="D13" s="3"/>
      <c r="E13" s="3"/>
      <c r="F13" s="3"/>
      <c r="G13" s="3"/>
      <c r="H13" s="60" t="s">
        <v>47</v>
      </c>
      <c r="I13" s="61" t="s">
        <v>50</v>
      </c>
      <c r="J13" s="62">
        <v>0.25</v>
      </c>
      <c r="K13" s="62">
        <v>0.8</v>
      </c>
      <c r="L13" s="4">
        <v>0.5</v>
      </c>
    </row>
    <row r="15" spans="1:12">
      <c r="I15" s="40"/>
    </row>
    <row r="19" spans="9:9">
      <c r="I19" s="3"/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29BE-DAC8-465B-87D4-85C9FA1FB4A4}">
  <dimension ref="A1:T14"/>
  <sheetViews>
    <sheetView zoomScaleNormal="100" workbookViewId="0">
      <selection activeCell="D18" sqref="D18"/>
    </sheetView>
  </sheetViews>
  <sheetFormatPr defaultColWidth="11" defaultRowHeight="15.6"/>
  <sheetData>
    <row r="1" spans="1:20">
      <c r="F1" s="1"/>
      <c r="G1" s="1"/>
      <c r="H1" s="1"/>
      <c r="I1" s="1"/>
      <c r="J1" s="1"/>
      <c r="K1" s="1"/>
      <c r="L1" s="1"/>
      <c r="M1" s="1" t="s">
        <v>18</v>
      </c>
      <c r="N1" s="1"/>
      <c r="O1" s="1"/>
      <c r="P1" s="1"/>
      <c r="Q1" s="1"/>
      <c r="R1" s="1"/>
      <c r="S1" s="1"/>
      <c r="T1" s="1"/>
    </row>
    <row r="2" spans="1:20">
      <c r="A2" s="19"/>
      <c r="B2" s="20"/>
      <c r="C2" s="20"/>
      <c r="D2" s="20"/>
      <c r="E2" s="21"/>
      <c r="F2" s="22"/>
      <c r="G2" s="23" t="s">
        <v>11</v>
      </c>
      <c r="H2" s="22"/>
      <c r="I2" s="24"/>
      <c r="J2" s="23" t="s">
        <v>9</v>
      </c>
      <c r="K2" s="22"/>
      <c r="L2" s="24"/>
      <c r="M2" s="23" t="s">
        <v>17</v>
      </c>
      <c r="N2" s="22"/>
      <c r="O2" s="24"/>
      <c r="P2" s="23" t="s">
        <v>19</v>
      </c>
      <c r="Q2" s="22"/>
      <c r="R2" s="24"/>
      <c r="S2" s="23" t="s">
        <v>20</v>
      </c>
      <c r="T2" s="22"/>
    </row>
    <row r="3" spans="1:20">
      <c r="A3" s="25" t="s">
        <v>0</v>
      </c>
      <c r="B3" s="12" t="s">
        <v>8</v>
      </c>
      <c r="C3" s="14" t="s">
        <v>21</v>
      </c>
      <c r="D3" s="12" t="s">
        <v>6</v>
      </c>
      <c r="E3" s="13" t="s">
        <v>10</v>
      </c>
      <c r="F3" s="2" t="s">
        <v>22</v>
      </c>
      <c r="G3" s="2" t="s">
        <v>23</v>
      </c>
      <c r="H3" s="2" t="s">
        <v>24</v>
      </c>
      <c r="I3" s="26" t="s">
        <v>22</v>
      </c>
      <c r="J3" s="27" t="s">
        <v>23</v>
      </c>
      <c r="K3" s="27" t="s">
        <v>24</v>
      </c>
      <c r="L3" s="26" t="s">
        <v>22</v>
      </c>
      <c r="M3" s="27" t="s">
        <v>23</v>
      </c>
      <c r="N3" s="27" t="s">
        <v>24</v>
      </c>
      <c r="O3" s="26" t="s">
        <v>22</v>
      </c>
      <c r="P3" s="27" t="s">
        <v>23</v>
      </c>
      <c r="Q3" s="27" t="s">
        <v>24</v>
      </c>
      <c r="R3" s="26" t="s">
        <v>22</v>
      </c>
      <c r="S3" s="27" t="s">
        <v>23</v>
      </c>
      <c r="T3" s="27" t="s">
        <v>24</v>
      </c>
    </row>
    <row r="4" spans="1:20">
      <c r="A4" s="28" t="s">
        <v>25</v>
      </c>
      <c r="B4" s="32">
        <v>255</v>
      </c>
      <c r="C4" s="32">
        <v>320</v>
      </c>
      <c r="D4" s="32">
        <v>352</v>
      </c>
      <c r="E4" s="32">
        <v>405</v>
      </c>
      <c r="F4" s="5">
        <v>0.35</v>
      </c>
      <c r="G4" s="5">
        <v>2.2999999999999998</v>
      </c>
      <c r="H4" s="5">
        <v>1.05</v>
      </c>
      <c r="I4" s="4">
        <v>0.5</v>
      </c>
      <c r="J4" s="5">
        <v>2</v>
      </c>
      <c r="K4" s="5">
        <v>0.8</v>
      </c>
      <c r="L4" s="4">
        <v>0.5</v>
      </c>
      <c r="M4" s="5">
        <v>2.7</v>
      </c>
      <c r="N4" s="5">
        <v>1.4</v>
      </c>
      <c r="O4" s="4">
        <v>0.6</v>
      </c>
      <c r="P4" s="5">
        <v>1.9</v>
      </c>
      <c r="Q4" s="5">
        <v>0.7</v>
      </c>
      <c r="R4" s="4">
        <v>0.5</v>
      </c>
      <c r="S4" s="5">
        <v>1.5</v>
      </c>
      <c r="T4" s="6">
        <v>0.7</v>
      </c>
    </row>
    <row r="5" spans="1:20">
      <c r="A5" s="29" t="s">
        <v>26</v>
      </c>
      <c r="B5" s="33">
        <v>295</v>
      </c>
      <c r="C5" s="33">
        <v>368</v>
      </c>
      <c r="D5" s="33">
        <v>405</v>
      </c>
      <c r="E5" s="33">
        <v>455</v>
      </c>
      <c r="F5" s="3">
        <v>0.35</v>
      </c>
      <c r="G5" s="3">
        <v>2.2999999999999998</v>
      </c>
      <c r="H5" s="3">
        <v>1.05</v>
      </c>
      <c r="I5" s="7">
        <v>0.5</v>
      </c>
      <c r="J5" s="3">
        <v>2</v>
      </c>
      <c r="K5" s="3">
        <v>0.8</v>
      </c>
      <c r="L5" s="7">
        <v>0.5</v>
      </c>
      <c r="M5" s="3">
        <v>2.7</v>
      </c>
      <c r="N5" s="3">
        <v>1.4</v>
      </c>
      <c r="O5" s="7">
        <v>0.6</v>
      </c>
      <c r="P5" s="3">
        <v>1.9</v>
      </c>
      <c r="Q5" s="3">
        <v>0.7</v>
      </c>
      <c r="R5" s="7">
        <v>0.5</v>
      </c>
      <c r="S5" s="3">
        <v>1.5</v>
      </c>
      <c r="T5" s="8">
        <v>0.7</v>
      </c>
    </row>
    <row r="6" spans="1:20">
      <c r="A6" s="29" t="s">
        <v>27</v>
      </c>
      <c r="B6" s="33">
        <v>335</v>
      </c>
      <c r="C6" s="33">
        <v>416</v>
      </c>
      <c r="D6" s="33">
        <v>458</v>
      </c>
      <c r="E6" s="33">
        <v>505</v>
      </c>
      <c r="F6" s="3">
        <v>0.35</v>
      </c>
      <c r="G6" s="3">
        <v>2.2999999999999998</v>
      </c>
      <c r="H6" s="3">
        <v>1.05</v>
      </c>
      <c r="I6" s="7">
        <v>0.5</v>
      </c>
      <c r="J6" s="3">
        <v>2</v>
      </c>
      <c r="K6" s="3">
        <v>0.8</v>
      </c>
      <c r="L6" s="7">
        <v>0.5</v>
      </c>
      <c r="M6" s="3">
        <v>2.7</v>
      </c>
      <c r="N6" s="3">
        <v>1.4</v>
      </c>
      <c r="O6" s="7">
        <v>0.6</v>
      </c>
      <c r="P6" s="3">
        <v>1.9</v>
      </c>
      <c r="Q6" s="3">
        <v>0.7</v>
      </c>
      <c r="R6" s="7">
        <v>0.5</v>
      </c>
      <c r="S6" s="3">
        <v>1.5</v>
      </c>
      <c r="T6" s="8">
        <v>0.7</v>
      </c>
    </row>
    <row r="7" spans="1:20">
      <c r="A7" s="29" t="s">
        <v>28</v>
      </c>
      <c r="B7" s="33">
        <v>375</v>
      </c>
      <c r="C7" s="33">
        <v>464</v>
      </c>
      <c r="D7" s="33">
        <v>511</v>
      </c>
      <c r="E7" s="33">
        <v>555</v>
      </c>
      <c r="F7" s="3">
        <v>0.35</v>
      </c>
      <c r="G7" s="3">
        <v>2.2999999999999998</v>
      </c>
      <c r="H7" s="3">
        <v>1.05</v>
      </c>
      <c r="I7" s="7">
        <v>0.5</v>
      </c>
      <c r="J7" s="3">
        <v>2</v>
      </c>
      <c r="K7" s="3">
        <v>0.8</v>
      </c>
      <c r="L7" s="7">
        <v>0.5</v>
      </c>
      <c r="M7" s="3">
        <v>2.7</v>
      </c>
      <c r="N7" s="3">
        <v>1.4</v>
      </c>
      <c r="O7" s="7">
        <v>0.6</v>
      </c>
      <c r="P7" s="3">
        <v>1.9</v>
      </c>
      <c r="Q7" s="3">
        <v>0.7</v>
      </c>
      <c r="R7" s="7">
        <v>0.5</v>
      </c>
      <c r="S7" s="3">
        <v>1.5</v>
      </c>
      <c r="T7" s="8">
        <v>0.7</v>
      </c>
    </row>
    <row r="8" spans="1:20">
      <c r="A8" s="30" t="s">
        <v>29</v>
      </c>
      <c r="B8" s="34">
        <v>415</v>
      </c>
      <c r="C8" s="34">
        <v>512</v>
      </c>
      <c r="D8" s="34">
        <v>564</v>
      </c>
      <c r="E8" s="34">
        <v>605</v>
      </c>
      <c r="F8" s="10">
        <v>0.35</v>
      </c>
      <c r="G8" s="10">
        <v>2.2999999999999998</v>
      </c>
      <c r="H8" s="10">
        <v>1.05</v>
      </c>
      <c r="I8" s="9">
        <v>0.5</v>
      </c>
      <c r="J8" s="10">
        <v>2</v>
      </c>
      <c r="K8" s="10">
        <v>0.8</v>
      </c>
      <c r="L8" s="9">
        <v>0.5</v>
      </c>
      <c r="M8" s="10">
        <v>2.7</v>
      </c>
      <c r="N8" s="10">
        <v>1.4</v>
      </c>
      <c r="O8" s="9">
        <v>0.6</v>
      </c>
      <c r="P8" s="10">
        <v>1.9</v>
      </c>
      <c r="Q8" s="10">
        <v>0.7</v>
      </c>
      <c r="R8" s="9">
        <v>0.5</v>
      </c>
      <c r="S8" s="10">
        <v>1.5</v>
      </c>
      <c r="T8" s="11">
        <v>0.7</v>
      </c>
    </row>
    <row r="11" spans="1:20">
      <c r="D11" s="3"/>
    </row>
    <row r="14" spans="1:20">
      <c r="B14" s="35"/>
      <c r="D14" s="3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6679-AB50-4AB8-A8E1-E699ED51E68A}">
  <dimension ref="C5:S12"/>
  <sheetViews>
    <sheetView topLeftCell="B1" workbookViewId="0">
      <selection activeCell="I17" sqref="I17"/>
    </sheetView>
  </sheetViews>
  <sheetFormatPr defaultColWidth="11" defaultRowHeight="15.6"/>
  <sheetData>
    <row r="5" spans="3:19">
      <c r="H5" s="1"/>
      <c r="I5" s="1"/>
      <c r="J5" s="1"/>
      <c r="K5" s="31" t="s">
        <v>34</v>
      </c>
      <c r="L5" s="1"/>
      <c r="M5" s="1"/>
      <c r="N5" s="1"/>
      <c r="O5" s="1"/>
      <c r="P5" s="1"/>
      <c r="Q5" s="31" t="s">
        <v>35</v>
      </c>
      <c r="R5" s="1"/>
      <c r="S5" s="1"/>
    </row>
    <row r="6" spans="3:19">
      <c r="C6" s="19"/>
      <c r="D6" s="20"/>
      <c r="E6" s="20"/>
      <c r="F6" s="20"/>
      <c r="G6" s="21"/>
      <c r="H6" s="22"/>
      <c r="I6" s="23" t="s">
        <v>32</v>
      </c>
      <c r="J6" s="22"/>
      <c r="K6" s="24"/>
      <c r="L6" s="23" t="s">
        <v>33</v>
      </c>
      <c r="M6" s="22"/>
      <c r="N6" s="24"/>
      <c r="O6" s="23" t="s">
        <v>32</v>
      </c>
      <c r="P6" s="22"/>
      <c r="Q6" s="24"/>
      <c r="R6" s="23" t="s">
        <v>36</v>
      </c>
      <c r="S6" s="22"/>
    </row>
    <row r="7" spans="3:19">
      <c r="C7" s="25" t="s">
        <v>0</v>
      </c>
      <c r="D7" s="12" t="s">
        <v>8</v>
      </c>
      <c r="E7" s="14" t="s">
        <v>21</v>
      </c>
      <c r="F7" s="12" t="s">
        <v>6</v>
      </c>
      <c r="G7" s="13" t="s">
        <v>10</v>
      </c>
      <c r="H7" s="2" t="s">
        <v>22</v>
      </c>
      <c r="I7" s="2" t="s">
        <v>23</v>
      </c>
      <c r="J7" s="2" t="s">
        <v>24</v>
      </c>
      <c r="K7" s="26" t="s">
        <v>22</v>
      </c>
      <c r="L7" s="27" t="s">
        <v>23</v>
      </c>
      <c r="M7" s="27" t="s">
        <v>24</v>
      </c>
      <c r="N7" s="26" t="s">
        <v>22</v>
      </c>
      <c r="O7" s="27" t="s">
        <v>23</v>
      </c>
      <c r="P7" s="27" t="s">
        <v>24</v>
      </c>
      <c r="Q7" s="26" t="s">
        <v>22</v>
      </c>
      <c r="R7" s="27" t="s">
        <v>23</v>
      </c>
      <c r="S7" s="27" t="s">
        <v>24</v>
      </c>
    </row>
    <row r="8" spans="3:19">
      <c r="C8" s="28" t="s">
        <v>25</v>
      </c>
      <c r="D8" s="5">
        <v>255</v>
      </c>
      <c r="E8" s="5">
        <v>320</v>
      </c>
      <c r="F8" s="5">
        <v>352</v>
      </c>
      <c r="G8" s="5">
        <v>405</v>
      </c>
      <c r="H8" s="3">
        <v>0.65</v>
      </c>
      <c r="I8" s="3">
        <v>2.2000000000000002</v>
      </c>
      <c r="J8" s="3">
        <v>0.9</v>
      </c>
      <c r="K8" s="3">
        <v>0.5</v>
      </c>
      <c r="L8" s="3">
        <v>1.3</v>
      </c>
      <c r="M8" s="16">
        <v>0.6</v>
      </c>
      <c r="N8" s="3">
        <v>0.65</v>
      </c>
      <c r="O8" s="3">
        <v>2</v>
      </c>
      <c r="P8" s="16">
        <v>0.75</v>
      </c>
      <c r="Q8" s="3">
        <v>0.65</v>
      </c>
      <c r="R8" s="3">
        <v>1.5</v>
      </c>
      <c r="S8" s="16">
        <v>0.75</v>
      </c>
    </row>
    <row r="9" spans="3:19">
      <c r="C9" s="29" t="s">
        <v>26</v>
      </c>
      <c r="D9" s="3">
        <v>295</v>
      </c>
      <c r="E9" s="3">
        <v>368</v>
      </c>
      <c r="F9" s="3">
        <v>405</v>
      </c>
      <c r="G9" s="3">
        <v>455</v>
      </c>
      <c r="H9" s="3">
        <v>0.65</v>
      </c>
      <c r="I9" s="3">
        <v>2.2000000000000002</v>
      </c>
      <c r="J9" s="3">
        <v>0.9</v>
      </c>
      <c r="K9" s="3">
        <v>0.5</v>
      </c>
      <c r="L9" s="3">
        <v>1.3</v>
      </c>
      <c r="M9" s="16">
        <v>0.6</v>
      </c>
      <c r="N9" s="3">
        <v>0.65</v>
      </c>
      <c r="O9" s="3">
        <v>2</v>
      </c>
      <c r="P9" s="16">
        <v>0.75</v>
      </c>
      <c r="Q9" s="3">
        <v>0.65</v>
      </c>
      <c r="R9" s="3">
        <v>1.5</v>
      </c>
      <c r="S9" s="16">
        <v>0.75</v>
      </c>
    </row>
    <row r="10" spans="3:19">
      <c r="C10" s="29" t="s">
        <v>27</v>
      </c>
      <c r="D10" s="3">
        <v>335</v>
      </c>
      <c r="E10" s="3">
        <v>416</v>
      </c>
      <c r="F10" s="3">
        <v>458</v>
      </c>
      <c r="G10" s="3">
        <v>505</v>
      </c>
      <c r="H10" s="3">
        <v>0.65</v>
      </c>
      <c r="I10" s="3">
        <v>2.2000000000000002</v>
      </c>
      <c r="J10" s="3">
        <v>0.9</v>
      </c>
      <c r="K10" s="3">
        <v>0.5</v>
      </c>
      <c r="L10" s="3">
        <v>1.3</v>
      </c>
      <c r="M10" s="16">
        <v>0.6</v>
      </c>
      <c r="N10" s="3">
        <v>0.65</v>
      </c>
      <c r="O10" s="3">
        <v>2</v>
      </c>
      <c r="P10" s="16">
        <v>0.75</v>
      </c>
      <c r="Q10" s="3">
        <v>0.65</v>
      </c>
      <c r="R10" s="3">
        <v>1.5</v>
      </c>
      <c r="S10" s="16">
        <v>0.75</v>
      </c>
    </row>
    <row r="11" spans="3:19">
      <c r="C11" s="29" t="s">
        <v>28</v>
      </c>
      <c r="D11" s="3">
        <v>375</v>
      </c>
      <c r="E11" s="3">
        <v>464</v>
      </c>
      <c r="F11" s="3">
        <v>511</v>
      </c>
      <c r="G11" s="3">
        <v>555</v>
      </c>
      <c r="H11" s="3">
        <v>0.65</v>
      </c>
      <c r="I11" s="3">
        <v>2.2000000000000002</v>
      </c>
      <c r="J11" s="3">
        <v>0.9</v>
      </c>
      <c r="K11" s="3">
        <v>0.5</v>
      </c>
      <c r="L11" s="3">
        <v>1.3</v>
      </c>
      <c r="M11" s="16">
        <v>0.6</v>
      </c>
      <c r="N11" s="3">
        <v>0.65</v>
      </c>
      <c r="O11" s="3">
        <v>2</v>
      </c>
      <c r="P11" s="16">
        <v>0.75</v>
      </c>
      <c r="Q11" s="3">
        <v>0.65</v>
      </c>
      <c r="R11" s="3">
        <v>1.5</v>
      </c>
      <c r="S11" s="16">
        <v>0.75</v>
      </c>
    </row>
    <row r="12" spans="3:19">
      <c r="C12" s="30" t="s">
        <v>29</v>
      </c>
      <c r="D12" s="10">
        <v>415</v>
      </c>
      <c r="E12" s="10">
        <v>512</v>
      </c>
      <c r="F12" s="10">
        <v>564</v>
      </c>
      <c r="G12" s="10">
        <v>605</v>
      </c>
      <c r="H12" s="10">
        <v>0.65</v>
      </c>
      <c r="I12" s="10">
        <v>2.2000000000000002</v>
      </c>
      <c r="J12" s="10">
        <v>0.9</v>
      </c>
      <c r="K12" s="10">
        <v>0.5</v>
      </c>
      <c r="L12" s="10">
        <v>1.3</v>
      </c>
      <c r="M12" s="17">
        <v>0.6</v>
      </c>
      <c r="N12" s="10">
        <v>0.65</v>
      </c>
      <c r="O12" s="10">
        <v>2</v>
      </c>
      <c r="P12" s="17">
        <v>0.75</v>
      </c>
      <c r="Q12" s="10">
        <v>0.65</v>
      </c>
      <c r="R12" s="10">
        <v>1.5</v>
      </c>
      <c r="S12" s="17">
        <v>0.75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37CD-5B4F-456A-A598-51EA9C673EE4}">
  <dimension ref="C5:P12"/>
  <sheetViews>
    <sheetView workbookViewId="0">
      <selection activeCell="E25" sqref="E25"/>
    </sheetView>
  </sheetViews>
  <sheetFormatPr defaultColWidth="11" defaultRowHeight="15.6"/>
  <sheetData>
    <row r="5" spans="3:16">
      <c r="H5" s="1"/>
      <c r="I5" s="1" t="s">
        <v>30</v>
      </c>
      <c r="J5" s="1"/>
      <c r="K5" s="1"/>
      <c r="L5" s="1"/>
      <c r="M5" s="1" t="s">
        <v>31</v>
      </c>
      <c r="N5" s="1"/>
      <c r="O5" s="1"/>
      <c r="P5" s="1"/>
    </row>
    <row r="6" spans="3:16">
      <c r="C6" s="19"/>
      <c r="D6" s="20"/>
      <c r="E6" s="20"/>
      <c r="F6" s="20"/>
      <c r="G6" s="21"/>
      <c r="H6" s="22"/>
      <c r="I6" s="23" t="s">
        <v>32</v>
      </c>
      <c r="J6" s="22"/>
      <c r="K6" s="24"/>
      <c r="L6" s="23" t="s">
        <v>32</v>
      </c>
      <c r="M6" s="22"/>
      <c r="N6" s="23"/>
      <c r="O6" s="23" t="s">
        <v>33</v>
      </c>
      <c r="P6" s="22"/>
    </row>
    <row r="7" spans="3:16">
      <c r="C7" s="25" t="s">
        <v>0</v>
      </c>
      <c r="D7" s="12" t="s">
        <v>8</v>
      </c>
      <c r="E7" s="14" t="s">
        <v>21</v>
      </c>
      <c r="F7" s="12" t="s">
        <v>6</v>
      </c>
      <c r="G7" s="13" t="s">
        <v>10</v>
      </c>
      <c r="H7" s="2" t="s">
        <v>22</v>
      </c>
      <c r="I7" s="2" t="s">
        <v>23</v>
      </c>
      <c r="J7" s="2" t="s">
        <v>24</v>
      </c>
      <c r="K7" s="26" t="s">
        <v>22</v>
      </c>
      <c r="L7" s="27" t="s">
        <v>23</v>
      </c>
      <c r="M7" s="27" t="s">
        <v>24</v>
      </c>
      <c r="N7" s="26" t="s">
        <v>22</v>
      </c>
      <c r="O7" s="27" t="s">
        <v>23</v>
      </c>
      <c r="P7" s="27" t="s">
        <v>24</v>
      </c>
    </row>
    <row r="8" spans="3:16">
      <c r="C8" s="28" t="s">
        <v>25</v>
      </c>
      <c r="D8" s="5">
        <v>255</v>
      </c>
      <c r="E8" s="5">
        <v>320</v>
      </c>
      <c r="F8" s="5">
        <v>352</v>
      </c>
      <c r="G8" s="5">
        <v>405</v>
      </c>
      <c r="H8" s="3">
        <v>0.55000000000000004</v>
      </c>
      <c r="I8" s="3">
        <v>1.95</v>
      </c>
      <c r="J8" s="16">
        <v>0.7</v>
      </c>
      <c r="K8" s="3">
        <v>0.4</v>
      </c>
      <c r="L8" s="3">
        <v>1</v>
      </c>
      <c r="M8" s="16">
        <v>0.5</v>
      </c>
      <c r="N8" s="3">
        <v>0.25</v>
      </c>
      <c r="O8" s="3">
        <v>0.8</v>
      </c>
      <c r="P8" s="16">
        <v>0.5</v>
      </c>
    </row>
    <row r="9" spans="3:16">
      <c r="C9" s="29" t="s">
        <v>26</v>
      </c>
      <c r="D9" s="3">
        <v>295</v>
      </c>
      <c r="E9" s="3">
        <v>368</v>
      </c>
      <c r="F9" s="3">
        <v>405</v>
      </c>
      <c r="G9" s="3">
        <v>455</v>
      </c>
      <c r="H9" s="3">
        <v>0.55000000000000004</v>
      </c>
      <c r="I9" s="3">
        <v>1.95</v>
      </c>
      <c r="J9" s="16">
        <v>0.7</v>
      </c>
      <c r="K9" s="3">
        <v>0.4</v>
      </c>
      <c r="L9" s="3">
        <v>1</v>
      </c>
      <c r="M9" s="16">
        <v>0.5</v>
      </c>
      <c r="N9" s="3">
        <v>0.25</v>
      </c>
      <c r="O9" s="3">
        <v>0.8</v>
      </c>
      <c r="P9" s="16">
        <v>0.5</v>
      </c>
    </row>
    <row r="10" spans="3:16">
      <c r="C10" s="29" t="s">
        <v>27</v>
      </c>
      <c r="D10" s="3">
        <v>335</v>
      </c>
      <c r="E10" s="3">
        <v>416</v>
      </c>
      <c r="F10" s="3">
        <v>458</v>
      </c>
      <c r="G10" s="3">
        <v>505</v>
      </c>
      <c r="H10" s="3">
        <v>0.55000000000000004</v>
      </c>
      <c r="I10" s="3">
        <v>1.95</v>
      </c>
      <c r="J10" s="16">
        <v>0.7</v>
      </c>
      <c r="K10" s="3">
        <v>0.4</v>
      </c>
      <c r="L10" s="3">
        <v>1</v>
      </c>
      <c r="M10" s="16">
        <v>0.5</v>
      </c>
      <c r="N10" s="3">
        <v>0.25</v>
      </c>
      <c r="O10" s="3">
        <v>0.8</v>
      </c>
      <c r="P10" s="16">
        <v>0.5</v>
      </c>
    </row>
    <row r="11" spans="3:16">
      <c r="C11" s="29" t="s">
        <v>28</v>
      </c>
      <c r="D11" s="3">
        <v>375</v>
      </c>
      <c r="E11" s="3">
        <v>464</v>
      </c>
      <c r="F11" s="3">
        <v>511</v>
      </c>
      <c r="G11" s="3">
        <v>555</v>
      </c>
      <c r="H11" s="3">
        <v>0.55000000000000004</v>
      </c>
      <c r="I11" s="3">
        <v>1.95</v>
      </c>
      <c r="J11" s="16">
        <v>0.7</v>
      </c>
      <c r="K11" s="3">
        <v>0.4</v>
      </c>
      <c r="L11" s="3">
        <v>1</v>
      </c>
      <c r="M11" s="16">
        <v>0.5</v>
      </c>
      <c r="N11" s="3">
        <v>0.25</v>
      </c>
      <c r="O11" s="3">
        <v>0.8</v>
      </c>
      <c r="P11" s="16">
        <v>0.5</v>
      </c>
    </row>
    <row r="12" spans="3:16">
      <c r="C12" s="30" t="s">
        <v>29</v>
      </c>
      <c r="D12" s="10">
        <v>415</v>
      </c>
      <c r="E12" s="10">
        <v>512</v>
      </c>
      <c r="F12" s="10">
        <v>564</v>
      </c>
      <c r="G12" s="11">
        <v>605</v>
      </c>
      <c r="H12" s="15">
        <v>0.55000000000000004</v>
      </c>
      <c r="I12" s="15">
        <v>1.95</v>
      </c>
      <c r="J12" s="18">
        <v>0.7</v>
      </c>
      <c r="K12" s="10">
        <v>0.4</v>
      </c>
      <c r="L12" s="10">
        <v>1</v>
      </c>
      <c r="M12" s="17">
        <v>0.5</v>
      </c>
      <c r="N12" s="10">
        <v>0.25</v>
      </c>
      <c r="O12" s="10">
        <v>0.8</v>
      </c>
      <c r="P12" s="17">
        <v>0.5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D10A2-8B51-4833-960D-1C686DDDE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Exercício</vt:lpstr>
      <vt:lpstr>Tabela_Final</vt:lpstr>
      <vt:lpstr>Km_veículos</vt:lpstr>
      <vt:lpstr>Região_Paradas</vt:lpstr>
      <vt:lpstr>Listas</vt:lpstr>
      <vt:lpstr>Aux_Origem_Transformação</vt:lpstr>
      <vt:lpstr>Sudeste</vt:lpstr>
      <vt:lpstr>Centro-Oeste e Sul</vt:lpstr>
      <vt:lpstr>Norte e Nordeste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MARCAL PADULA Victoria [YCISCP Stu]</dc:creator>
  <cp:keywords/>
  <dc:description/>
  <cp:lastModifiedBy>Lucas Marques</cp:lastModifiedBy>
  <cp:revision/>
  <cp:lastPrinted>2026-04-28T19:01:32Z</cp:lastPrinted>
  <dcterms:created xsi:type="dcterms:W3CDTF">2022-02-18T21:36:46Z</dcterms:created>
  <dcterms:modified xsi:type="dcterms:W3CDTF">2026-04-29T21:23:36Z</dcterms:modified>
  <cp:category/>
  <cp:contentStatus/>
</cp:coreProperties>
</file>